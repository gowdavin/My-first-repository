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tables/table1.xml" ContentType="application/vnd.openxmlformats-officedocument.spreadsheetml.table+xml"/>
  <Override PartName="/xl/comments3.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defaultThemeVersion="124226"/>
  <mc:AlternateContent xmlns:mc="http://schemas.openxmlformats.org/markup-compatibility/2006">
    <mc:Choice Requires="x15">
      <x15ac:absPath xmlns:x15ac="http://schemas.microsoft.com/office/spreadsheetml/2010/11/ac" url="D:\Vinay\Work\AfterMarket\DENT TOOL\LEGACY TOOL\"/>
    </mc:Choice>
  </mc:AlternateContent>
  <xr:revisionPtr revIDLastSave="0" documentId="13_ncr:1_{AC04D2B1-2488-4B69-9F21-1EC7304B7BFC}" xr6:coauthVersionLast="47" xr6:coauthVersionMax="47" xr10:uidLastSave="{00000000-0000-0000-0000-000000000000}"/>
  <bookViews>
    <workbookView xWindow="-120" yWindow="-120" windowWidth="20640" windowHeight="11160" tabRatio="520" activeTab="6" xr2:uid="{00000000-000D-0000-FFFF-FFFF00000000}"/>
  </bookViews>
  <sheets>
    <sheet name="Dent Tool" sheetId="1" r:id="rId1"/>
    <sheet name="Inputs" sheetId="6" r:id="rId2"/>
    <sheet name="Calculations" sheetId="4" r:id="rId3"/>
    <sheet name="Allowables &amp; TRF Data" sheetId="9" state="hidden" r:id="rId4"/>
    <sheet name="Ky Calculation" sheetId="12" r:id="rId5"/>
    <sheet name="Database" sheetId="2" r:id="rId6"/>
    <sheet name="DataTable" sheetId="3" r:id="rId7"/>
    <sheet name="Summary-Sravya" sheetId="11" state="hidden" r:id="rId8"/>
  </sheets>
  <functionGroups builtInGroupCount="19"/>
  <definedNames>
    <definedName name="_xlnm._FilterDatabase" localSheetId="6" hidden="1">DataTable!$B$1:$C$13</definedName>
    <definedName name="AbsMaximumPrincipalStress">Inputs!$B$21</definedName>
    <definedName name="Aircraft" localSheetId="1">Table1[Aircraft]</definedName>
    <definedName name="Aircraft">Table1[Aircraft]</definedName>
    <definedName name="Aircraft_Program" localSheetId="1">Table3[]</definedName>
    <definedName name="Aircraft_Program">Table3[]</definedName>
    <definedName name="Airplane">Inputs!$B$6</definedName>
    <definedName name="CVLogCase">Inputs!$B$5</definedName>
    <definedName name="Dentselected">Inputs!$B$1</definedName>
    <definedName name="Engine">Inputs!$B$7</definedName>
    <definedName name="Flightcycles">Inputs!$B$9</definedName>
    <definedName name="Lipskin">Inputs!$B$8</definedName>
    <definedName name="Log_Created">DataTable!$H$1</definedName>
    <definedName name="MaximumPrincipalStress">Inputs!$B$19</definedName>
    <definedName name="MinimumPrincipalStress">Inputs!$B$20</definedName>
    <definedName name="Panelsize">Inputs!$B$29</definedName>
    <definedName name="PoissonRatio">Inputs!$B$18</definedName>
    <definedName name="Rib_Skin" localSheetId="1">Table2[Lip Skin Surface]</definedName>
    <definedName name="Rib_Skin">Table2[Lip Skin Surface]</definedName>
    <definedName name="TRF">Inputs!$B$22</definedName>
    <definedName name="UltimateComprAllowable">Inputs!$B$16</definedName>
    <definedName name="UltimateStrainAllowable">Inputs!$B$15</definedName>
    <definedName name="UltimateTensileAllowable">Inputs!$B$13</definedName>
    <definedName name="YieldTensileAllowable">Inputs!$B$14</definedName>
    <definedName name="YoungsModulous">Inputs!$B$17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8" i="6" l="1"/>
  <c r="H34" i="4"/>
  <c r="C10" i="12" l="1"/>
  <c r="C6" i="12"/>
  <c r="C8" i="12"/>
  <c r="C20" i="12" l="1"/>
  <c r="C19" i="12"/>
  <c r="C18" i="12"/>
  <c r="C17" i="12"/>
  <c r="C16" i="12"/>
  <c r="C15" i="12"/>
  <c r="C14" i="12"/>
  <c r="C13" i="12"/>
  <c r="C12" i="12"/>
  <c r="C11" i="12"/>
  <c r="C7" i="12"/>
  <c r="C5" i="12"/>
  <c r="C9" i="12"/>
  <c r="AD10" i="2"/>
  <c r="AD11" i="2"/>
  <c r="AD12" i="2"/>
  <c r="AD13" i="2"/>
  <c r="AD14" i="2"/>
  <c r="AD15" i="2"/>
  <c r="AD16" i="2"/>
  <c r="AD17" i="2"/>
  <c r="AD18" i="2"/>
  <c r="AD19" i="2"/>
  <c r="AD20" i="2"/>
  <c r="AD21" i="2"/>
  <c r="AD22" i="2"/>
  <c r="AD23" i="2"/>
  <c r="AD24" i="2"/>
  <c r="AD25" i="2"/>
  <c r="AD26" i="2"/>
  <c r="AD27" i="2"/>
  <c r="AD28" i="2"/>
  <c r="AD29" i="2"/>
  <c r="AD30" i="2"/>
  <c r="AD31" i="2"/>
  <c r="AD32" i="2"/>
  <c r="AD33" i="2"/>
  <c r="AD34" i="2"/>
  <c r="AD35" i="2"/>
  <c r="AD36" i="2"/>
  <c r="AD37" i="2"/>
  <c r="AD38" i="2"/>
  <c r="AD39" i="2"/>
  <c r="AD9" i="2"/>
  <c r="AD8" i="2"/>
  <c r="B16" i="6"/>
  <c r="Z39" i="2" l="1"/>
  <c r="Y39" i="2"/>
  <c r="Z38" i="2"/>
  <c r="Y38" i="2"/>
  <c r="B27" i="6"/>
  <c r="H29" i="4"/>
  <c r="Y33" i="2" l="1"/>
  <c r="Y32" i="2"/>
  <c r="Y31" i="2"/>
  <c r="Y30" i="2"/>
  <c r="Y25" i="2"/>
  <c r="Y24" i="2"/>
  <c r="Y23" i="2"/>
  <c r="Y22" i="2"/>
  <c r="Z23" i="11" l="1"/>
  <c r="Y23" i="11"/>
  <c r="Z22" i="11"/>
  <c r="Y22" i="11"/>
  <c r="Z21" i="11"/>
  <c r="Y21" i="11"/>
  <c r="Z20" i="11"/>
  <c r="Y20" i="11"/>
  <c r="Z19" i="11"/>
  <c r="Y19" i="11"/>
  <c r="Z18" i="11"/>
  <c r="Y18" i="11"/>
  <c r="Z17" i="11"/>
  <c r="Y17" i="11"/>
  <c r="Z16" i="11"/>
  <c r="Y16" i="11"/>
  <c r="Z15" i="11"/>
  <c r="Y15" i="11"/>
  <c r="Z14" i="11"/>
  <c r="Y14" i="11"/>
  <c r="Z13" i="11"/>
  <c r="Y13" i="11"/>
  <c r="Z12" i="11"/>
  <c r="Y12" i="11"/>
  <c r="Z11" i="11"/>
  <c r="Y11" i="11"/>
  <c r="Z10" i="11"/>
  <c r="Y10" i="11"/>
  <c r="Z9" i="11"/>
  <c r="Y9" i="11"/>
  <c r="Z8" i="11"/>
  <c r="Y8" i="11"/>
  <c r="Z7" i="11"/>
  <c r="Y7" i="11"/>
  <c r="Z6" i="11"/>
  <c r="Y6" i="11"/>
  <c r="Z5" i="11"/>
  <c r="Y5" i="11"/>
  <c r="Z4" i="11"/>
  <c r="Y4" i="11"/>
  <c r="Z6" i="2" l="1"/>
  <c r="B17" i="6"/>
  <c r="B15" i="6"/>
  <c r="B20" i="6"/>
  <c r="B40" i="6"/>
  <c r="B9" i="6"/>
  <c r="B29" i="6"/>
  <c r="H38" i="4"/>
  <c r="H44" i="4"/>
  <c r="B19" i="6"/>
  <c r="B22" i="6"/>
  <c r="B14" i="6"/>
  <c r="B18" i="6"/>
  <c r="F42" i="4"/>
  <c r="B13" i="6"/>
  <c r="H39" i="4" l="1"/>
  <c r="H42" i="4"/>
  <c r="B21" i="4"/>
  <c r="B22" i="4"/>
  <c r="B24" i="4"/>
  <c r="B20" i="4"/>
  <c r="B9" i="4"/>
  <c r="B10" i="4"/>
  <c r="B11" i="4"/>
  <c r="B12" i="4"/>
  <c r="B13" i="4"/>
  <c r="B14" i="4"/>
  <c r="B15" i="4"/>
  <c r="B8" i="4"/>
  <c r="F41" i="4"/>
  <c r="B1" i="4" l="1"/>
  <c r="B5" i="4"/>
  <c r="B4" i="4"/>
  <c r="B3" i="4"/>
  <c r="B2" i="4"/>
  <c r="B17" i="4" l="1"/>
  <c r="B26" i="4"/>
  <c r="Y7" i="2"/>
  <c r="Y6" i="2"/>
  <c r="H43" i="4"/>
  <c r="B25" i="4" l="1"/>
  <c r="C25" i="9"/>
  <c r="C26" i="9"/>
  <c r="C27" i="9"/>
  <c r="C28" i="9"/>
  <c r="C29" i="9"/>
  <c r="C30" i="9"/>
  <c r="C31" i="9"/>
  <c r="C32" i="9"/>
  <c r="C33" i="9"/>
  <c r="C34" i="9"/>
  <c r="C35" i="9"/>
  <c r="C24" i="9"/>
  <c r="B16" i="4"/>
  <c r="H35" i="4" l="1"/>
  <c r="H33" i="4"/>
  <c r="H41" i="4"/>
  <c r="H37" i="4"/>
  <c r="H31" i="4"/>
  <c r="H30" i="4"/>
  <c r="H32" i="4"/>
  <c r="H36" i="4"/>
  <c r="B21"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Vinay Maridasegowda</author>
  </authors>
  <commentList>
    <comment ref="B13" authorId="0" shapeId="0" xr:uid="{00000000-0006-0000-0100-000001000000}">
      <text>
        <r>
          <rPr>
            <b/>
            <sz val="9"/>
            <color indexed="81"/>
            <rFont val="Tahoma"/>
            <family val="2"/>
          </rPr>
          <t>Vinay Maridasegowda:</t>
        </r>
        <r>
          <rPr>
            <sz val="9"/>
            <color indexed="81"/>
            <rFont val="Tahoma"/>
            <family val="2"/>
          </rPr>
          <t xml:space="preserve">
This allowable is for non-Linear and Open Hole Analysis. 
Linear analysis will be conservatively 55000PSI</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Vinay Maridasegowda</author>
  </authors>
  <commentList>
    <comment ref="H30" authorId="0" shapeId="0" xr:uid="{00000000-0006-0000-0200-000001000000}">
      <text>
        <r>
          <rPr>
            <b/>
            <sz val="9"/>
            <color indexed="81"/>
            <rFont val="Tahoma"/>
            <family val="2"/>
          </rPr>
          <t>Vinay Maridasegowda:</t>
        </r>
        <r>
          <rPr>
            <sz val="9"/>
            <color indexed="81"/>
            <rFont val="Tahoma"/>
            <family val="2"/>
          </rPr>
          <t xml:space="preserve">
This allowable is for non-Linear and Open Hole Analysis. 
Linear analysis will be conservatively 55000PSI</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Vinay Maridasegowda</author>
  </authors>
  <commentList>
    <comment ref="W2" authorId="0" shapeId="0" xr:uid="{00000000-0006-0000-0400-000001000000}">
      <text>
        <r>
          <rPr>
            <b/>
            <sz val="9"/>
            <color indexed="81"/>
            <rFont val="Tahoma"/>
            <family val="2"/>
          </rPr>
          <t>Vinay Maridasegowda:</t>
        </r>
        <r>
          <rPr>
            <sz val="9"/>
            <color indexed="81"/>
            <rFont val="Tahoma"/>
            <family val="2"/>
          </rPr>
          <t xml:space="preserve">
Conservatively Outer lip skin tension stress value is considered for Inner Lip Skin also</t>
        </r>
      </text>
    </comment>
  </commentList>
</comments>
</file>

<file path=xl/sharedStrings.xml><?xml version="1.0" encoding="utf-8"?>
<sst xmlns="http://schemas.openxmlformats.org/spreadsheetml/2006/main" count="1003" uniqueCount="378">
  <si>
    <t>Aircraft</t>
  </si>
  <si>
    <t>A320</t>
  </si>
  <si>
    <t>B737</t>
  </si>
  <si>
    <t>CFM56-5B</t>
  </si>
  <si>
    <t>V2500</t>
  </si>
  <si>
    <t>CFM56-7</t>
  </si>
  <si>
    <t>Program</t>
  </si>
  <si>
    <t>Max. Critical</t>
  </si>
  <si>
    <t>Compressive</t>
  </si>
  <si>
    <t>Tensile</t>
  </si>
  <si>
    <t>a, inch</t>
  </si>
  <si>
    <t>b, inch</t>
  </si>
  <si>
    <t>TRF</t>
  </si>
  <si>
    <t>Aspect Ratio</t>
  </si>
  <si>
    <t>Inner Lip Skin</t>
  </si>
  <si>
    <t>Outer Lip Skin</t>
  </si>
  <si>
    <t>Lip Skin Surface</t>
  </si>
  <si>
    <t>Geometric Details</t>
  </si>
  <si>
    <t>Open Hole Analysis</t>
  </si>
  <si>
    <t>Net Section Factor (NSF)</t>
  </si>
  <si>
    <t>Input Steps</t>
  </si>
  <si>
    <t>Major Diameter (Ln)</t>
  </si>
  <si>
    <t>Minor Diameter (Wn)</t>
  </si>
  <si>
    <t>Dent Depth (dn)</t>
  </si>
  <si>
    <t>Skin Thickness</t>
  </si>
  <si>
    <t>Values</t>
  </si>
  <si>
    <t>CV log case</t>
  </si>
  <si>
    <t>Aircraft Program</t>
  </si>
  <si>
    <t>Engine Details</t>
  </si>
  <si>
    <t>Lip Skin</t>
  </si>
  <si>
    <t>Ultimate Tens-allowable (Ftu)</t>
  </si>
  <si>
    <t>Ultimate Strain-allowble (eu)</t>
  </si>
  <si>
    <t>Maximum Principal Stress</t>
  </si>
  <si>
    <t>Minimum Principal Stress</t>
  </si>
  <si>
    <t>Absolute Max. Principal Stress</t>
  </si>
  <si>
    <t>Material &amp; Loading Details</t>
  </si>
  <si>
    <t>Case Number &amp; Aircraft Details</t>
  </si>
  <si>
    <t>Fcy</t>
  </si>
  <si>
    <t>Major Diameter (Lm)</t>
  </si>
  <si>
    <t>Minor Diameter (Wm)</t>
  </si>
  <si>
    <t>Dent Depth (dm)</t>
  </si>
  <si>
    <t>Dent Analysis</t>
  </si>
  <si>
    <t>Major Diameter (L)</t>
  </si>
  <si>
    <t>Minor Diameter (W)</t>
  </si>
  <si>
    <t>Dent Depth (d)</t>
  </si>
  <si>
    <t>Panel Size, inch</t>
  </si>
  <si>
    <t>Poisson ratio</t>
  </si>
  <si>
    <t>E</t>
  </si>
  <si>
    <t>Young's Modulous, E</t>
  </si>
  <si>
    <t>Strain Allowable (eu)</t>
  </si>
  <si>
    <t>Poisson's ratio, u</t>
  </si>
  <si>
    <t>Geometric Details For Single Dent</t>
  </si>
  <si>
    <t>Geometric Details For Multiple Dent</t>
  </si>
  <si>
    <t>Distance from center of dent to edge of feature ('e')</t>
  </si>
  <si>
    <t>Units</t>
  </si>
  <si>
    <t>in</t>
  </si>
  <si>
    <t>PSI</t>
  </si>
  <si>
    <t>Fcy, PSI</t>
  </si>
  <si>
    <t>Temp, F</t>
  </si>
  <si>
    <t>Radius of lip Skin, inch</t>
  </si>
  <si>
    <t>Skin Thickness, t, inch</t>
  </si>
  <si>
    <t>Compr Stress, PSI</t>
  </si>
  <si>
    <t>Tension Stress, PSI</t>
  </si>
  <si>
    <t>Pressure, PSI</t>
  </si>
  <si>
    <t>Panel Size</t>
  </si>
  <si>
    <t>Fty, PSI</t>
  </si>
  <si>
    <t>Aircraft life cycles</t>
  </si>
  <si>
    <t>Flight Cycles</t>
  </si>
  <si>
    <t>Temp F</t>
  </si>
  <si>
    <t>Tensile Allowable</t>
  </si>
  <si>
    <t>Ftu, psi</t>
  </si>
  <si>
    <t>Ultimate</t>
  </si>
  <si>
    <t>Yield</t>
  </si>
  <si>
    <t>Youngs Modulous</t>
  </si>
  <si>
    <t>Fty, psi</t>
  </si>
  <si>
    <t>Compr. Allowable</t>
  </si>
  <si>
    <t>TRF, Fcy</t>
  </si>
  <si>
    <t>TRF (Ftu)</t>
  </si>
  <si>
    <t>TRF (Fty)</t>
  </si>
  <si>
    <t>TRF (E)</t>
  </si>
  <si>
    <t>Max. Fat. Stress, psi</t>
  </si>
  <si>
    <t>Min. Fat Stress, psi</t>
  </si>
  <si>
    <t>TRF @ Ftu</t>
  </si>
  <si>
    <t>Remarks</t>
  </si>
  <si>
    <t>Date</t>
  </si>
  <si>
    <t>Initial Release</t>
  </si>
  <si>
    <t>Version history added</t>
  </si>
  <si>
    <t>1. Conclusion statement at fatigue analysis updated
2. Fatigue loads updated</t>
  </si>
  <si>
    <t>Tool Cleanup</t>
  </si>
  <si>
    <t>lbf/in</t>
  </si>
  <si>
    <t>lbf-in</t>
  </si>
  <si>
    <t xml:space="preserve">Ultimate Tens-allowable </t>
  </si>
  <si>
    <t xml:space="preserve">Yield Tensile Allowable </t>
  </si>
  <si>
    <t>u</t>
  </si>
  <si>
    <t>Ftu</t>
  </si>
  <si>
    <t>Fty</t>
  </si>
  <si>
    <t>eu</t>
  </si>
  <si>
    <t>Young's Modulous</t>
  </si>
  <si>
    <t>Poisson's ratio</t>
  </si>
  <si>
    <t>Allowable @ RT</t>
  </si>
  <si>
    <t>Thermal Reduction Factor</t>
  </si>
  <si>
    <t>Allowable @ Given temp.</t>
  </si>
  <si>
    <t>Final Allowable Stress</t>
  </si>
  <si>
    <t>Stability Analysis</t>
  </si>
  <si>
    <t>Diameter</t>
  </si>
  <si>
    <t>Depth</t>
  </si>
  <si>
    <t>Edge distance to Diameter ratio</t>
  </si>
  <si>
    <t>Dent Radius</t>
  </si>
  <si>
    <t>E at given temperature</t>
  </si>
  <si>
    <t>Dent arc length</t>
  </si>
  <si>
    <t>Parameter</t>
  </si>
  <si>
    <t>Dent radius to thickness ratio</t>
  </si>
  <si>
    <t>Shear buckling co-efficient</t>
  </si>
  <si>
    <t>Compressive buckling co-efficient</t>
  </si>
  <si>
    <t>Effective Buckling Co-Efficient</t>
  </si>
  <si>
    <t>Cladding reduction factor</t>
  </si>
  <si>
    <t>Buckling size check</t>
  </si>
  <si>
    <t>r</t>
  </si>
  <si>
    <t>θ</t>
  </si>
  <si>
    <t>Z</t>
  </si>
  <si>
    <t>r/t</t>
  </si>
  <si>
    <t>Ks</t>
  </si>
  <si>
    <t>Kc</t>
  </si>
  <si>
    <t>n</t>
  </si>
  <si>
    <r>
      <rPr>
        <sz val="11"/>
        <color theme="1"/>
        <rFont val="Calibri"/>
        <family val="2"/>
      </rPr>
      <t>η</t>
    </r>
    <r>
      <rPr>
        <vertAlign val="subscript"/>
        <sz val="9.35"/>
        <color theme="1"/>
        <rFont val="Calibri"/>
        <family val="2"/>
      </rPr>
      <t>p</t>
    </r>
  </si>
  <si>
    <t>Degrees</t>
  </si>
  <si>
    <t>Theta</t>
  </si>
  <si>
    <t>Minimum allowable considered</t>
  </si>
  <si>
    <t>Material compr. Allowable</t>
  </si>
  <si>
    <t>Plasticity reduction factor</t>
  </si>
  <si>
    <r>
      <t>F</t>
    </r>
    <r>
      <rPr>
        <vertAlign val="subscript"/>
        <sz val="11"/>
        <color theme="1"/>
        <rFont val="Calibri"/>
        <family val="2"/>
        <scheme val="minor"/>
      </rPr>
      <t>allow</t>
    </r>
  </si>
  <si>
    <t>Fatigue Analysis</t>
  </si>
  <si>
    <t>Critical Loadcase</t>
  </si>
  <si>
    <t>Kt, MMPDS</t>
  </si>
  <si>
    <t>Kt, Dent</t>
  </si>
  <si>
    <t>Factor</t>
  </si>
  <si>
    <t>Repair type</t>
  </si>
  <si>
    <t>Ftu,T854/Ftu,T62</t>
  </si>
  <si>
    <t>Fatigue Life</t>
  </si>
  <si>
    <t>Nf</t>
  </si>
  <si>
    <t>Nf/SF</t>
  </si>
  <si>
    <t>FC</t>
  </si>
  <si>
    <t>Re-Positioning Analysis</t>
  </si>
  <si>
    <r>
      <t>d</t>
    </r>
    <r>
      <rPr>
        <vertAlign val="subscript"/>
        <sz val="11"/>
        <color theme="1"/>
        <rFont val="Calibri"/>
        <family val="2"/>
        <scheme val="minor"/>
      </rPr>
      <t>opt</t>
    </r>
  </si>
  <si>
    <r>
      <t>is d</t>
    </r>
    <r>
      <rPr>
        <vertAlign val="subscript"/>
        <sz val="11"/>
        <color theme="1"/>
        <rFont val="Calibri"/>
        <family val="2"/>
        <scheme val="minor"/>
      </rPr>
      <t>opt</t>
    </r>
    <r>
      <rPr>
        <sz val="11"/>
        <color theme="1"/>
        <rFont val="Calibri"/>
        <family val="2"/>
        <scheme val="minor"/>
      </rPr>
      <t xml:space="preserve"> &gt;= d</t>
    </r>
    <r>
      <rPr>
        <vertAlign val="subscript"/>
        <sz val="11"/>
        <color theme="1"/>
        <rFont val="Calibri"/>
        <family val="2"/>
        <scheme val="minor"/>
      </rPr>
      <t>eff</t>
    </r>
  </si>
  <si>
    <t>Non - Linear Analysis</t>
  </si>
  <si>
    <t>Linear Analysis</t>
  </si>
  <si>
    <t>Compr. buckling co-efficient</t>
  </si>
  <si>
    <t>Geometric Details of Multiple Dents</t>
  </si>
  <si>
    <t>Geometric Details of Single Dent</t>
  </si>
  <si>
    <t>1. Updated Dent radius equation
2. Updated Calculation sheet for stress report generation</t>
  </si>
  <si>
    <t xml:space="preserve">Yield Compressive Allowable </t>
  </si>
  <si>
    <t xml:space="preserve">Ultimate Strain-allowable </t>
  </si>
  <si>
    <t>in/in</t>
  </si>
  <si>
    <t>TRF, Ftu</t>
  </si>
  <si>
    <t>Loading Details</t>
  </si>
  <si>
    <t>Skin Thickness (t)</t>
  </si>
  <si>
    <r>
      <t>Dent Offset Moment, M</t>
    </r>
    <r>
      <rPr>
        <vertAlign val="subscript"/>
        <sz val="11"/>
        <color theme="1"/>
        <rFont val="Calibri"/>
        <family val="2"/>
        <scheme val="minor"/>
      </rPr>
      <t>dent</t>
    </r>
  </si>
  <si>
    <t>Reference</t>
  </si>
  <si>
    <t>RHR 92-008 Vol.1</t>
  </si>
  <si>
    <t>Static loads from CV17-9292. Assumes fatigue R = 0. Fatigue life taken from CV17-1072-09-STRESS.</t>
  </si>
  <si>
    <t>RHR 94-058 Vol I, Rev A Addendum IV, 2019-11-12 and RHR 94-058 Vol II, Addendum II, 6-23-08a</t>
  </si>
  <si>
    <t>DRT23000 - Max T/O, M=0.45, ALT=0.0FT, HOT DAY, A/I BURST DUCT in D-duct, 305°F</t>
  </si>
  <si>
    <t>DRT23000 - Max T/O, M=0.45, ALT=0.0FT, HOT DAY, A/I BURST DUCT in D-duct, 530°F</t>
  </si>
  <si>
    <t>Bursting, 525°F</t>
  </si>
  <si>
    <t>Buckling, 525°F</t>
  </si>
  <si>
    <t>LC22149 Engine Surge, Max Burst, T = 270°F</t>
  </si>
  <si>
    <t>LC23111, Normal Ventilation, AI-On, Take-Off, T = 600°F</t>
  </si>
  <si>
    <t>Compression Loadcase</t>
  </si>
  <si>
    <t>LC23111, Normal Ventilation, AI-On, Take-Off, T = 270°F</t>
  </si>
  <si>
    <t>Fcy x TRF</t>
  </si>
  <si>
    <t>Material compr. Allowable @ T</t>
  </si>
  <si>
    <r>
      <t>Non-Linear Bending Stress, (σ</t>
    </r>
    <r>
      <rPr>
        <vertAlign val="subscript"/>
        <sz val="11"/>
        <color theme="1"/>
        <rFont val="Calibri"/>
        <family val="2"/>
        <scheme val="minor"/>
      </rPr>
      <t>NL</t>
    </r>
    <r>
      <rPr>
        <sz val="11"/>
        <color theme="1"/>
        <rFont val="Calibri"/>
        <family val="2"/>
        <scheme val="minor"/>
      </rPr>
      <t>)</t>
    </r>
  </si>
  <si>
    <t>Aspect Ratio, AR</t>
  </si>
  <si>
    <r>
      <t>Effective running load (N</t>
    </r>
    <r>
      <rPr>
        <vertAlign val="subscript"/>
        <sz val="11"/>
        <color theme="1"/>
        <rFont val="Calibri"/>
        <family val="2"/>
        <scheme val="minor"/>
      </rPr>
      <t>eff</t>
    </r>
    <r>
      <rPr>
        <sz val="11"/>
        <color theme="1"/>
        <rFont val="Calibri"/>
        <family val="2"/>
        <scheme val="minor"/>
      </rPr>
      <t>), pounds per inch</t>
    </r>
  </si>
  <si>
    <r>
      <t>Linear Bending Stress (σ</t>
    </r>
    <r>
      <rPr>
        <vertAlign val="subscript"/>
        <sz val="11"/>
        <color theme="1"/>
        <rFont val="Calibri"/>
        <family val="2"/>
        <scheme val="minor"/>
      </rPr>
      <t>L</t>
    </r>
    <r>
      <rPr>
        <sz val="11"/>
        <color theme="1"/>
        <rFont val="Calibri"/>
        <family val="2"/>
        <scheme val="minor"/>
      </rPr>
      <t>),</t>
    </r>
  </si>
  <si>
    <r>
      <t>Margin of Safety (MS</t>
    </r>
    <r>
      <rPr>
        <vertAlign val="subscript"/>
        <sz val="11"/>
        <color theme="1"/>
        <rFont val="Calibri"/>
        <family val="2"/>
        <scheme val="minor"/>
      </rPr>
      <t>L</t>
    </r>
    <r>
      <rPr>
        <sz val="11"/>
        <color theme="1"/>
        <rFont val="Calibri"/>
        <family val="2"/>
        <scheme val="minor"/>
      </rPr>
      <t>)</t>
    </r>
  </si>
  <si>
    <r>
      <t>Dent Offset Moment, (M</t>
    </r>
    <r>
      <rPr>
        <vertAlign val="subscript"/>
        <sz val="11"/>
        <color theme="1"/>
        <rFont val="Calibri"/>
        <family val="2"/>
        <scheme val="minor"/>
      </rPr>
      <t>dent</t>
    </r>
    <r>
      <rPr>
        <sz val="11"/>
        <color theme="1"/>
        <rFont val="Calibri"/>
        <family val="2"/>
        <scheme val="minor"/>
      </rPr>
      <t>)</t>
    </r>
  </si>
  <si>
    <r>
      <t>Linear Bending Stress (σ</t>
    </r>
    <r>
      <rPr>
        <vertAlign val="subscript"/>
        <sz val="11"/>
        <color theme="1"/>
        <rFont val="Calibri"/>
        <family val="2"/>
        <scheme val="minor"/>
      </rPr>
      <t>NL</t>
    </r>
    <r>
      <rPr>
        <sz val="11"/>
        <color theme="1"/>
        <rFont val="Calibri"/>
        <family val="2"/>
        <scheme val="minor"/>
      </rPr>
      <t>),</t>
    </r>
  </si>
  <si>
    <r>
      <t>Margin of Safety (MS</t>
    </r>
    <r>
      <rPr>
        <vertAlign val="subscript"/>
        <sz val="11"/>
        <color theme="1"/>
        <rFont val="Calibri"/>
        <family val="2"/>
        <scheme val="minor"/>
      </rPr>
      <t>NL</t>
    </r>
    <r>
      <rPr>
        <sz val="11"/>
        <color theme="1"/>
        <rFont val="Calibri"/>
        <family val="2"/>
        <scheme val="minor"/>
      </rPr>
      <t>)</t>
    </r>
  </si>
  <si>
    <r>
      <t>open hole Equivalent Stress (σ</t>
    </r>
    <r>
      <rPr>
        <vertAlign val="subscript"/>
        <sz val="11"/>
        <color theme="1"/>
        <rFont val="Calibri"/>
        <family val="2"/>
        <scheme val="minor"/>
      </rPr>
      <t>OH</t>
    </r>
    <r>
      <rPr>
        <sz val="11"/>
        <color theme="1"/>
        <rFont val="Calibri"/>
        <family val="2"/>
        <scheme val="minor"/>
      </rPr>
      <t>)</t>
    </r>
  </si>
  <si>
    <r>
      <t>Margin of Safety (MS</t>
    </r>
    <r>
      <rPr>
        <vertAlign val="subscript"/>
        <sz val="11"/>
        <color theme="1"/>
        <rFont val="Calibri"/>
        <family val="2"/>
        <scheme val="minor"/>
      </rPr>
      <t>OH</t>
    </r>
    <r>
      <rPr>
        <sz val="11"/>
        <color theme="1"/>
        <rFont val="Calibri"/>
        <family val="2"/>
        <scheme val="minor"/>
      </rPr>
      <t>)</t>
    </r>
  </si>
  <si>
    <t>K = 0.8Kc + 0.2Ks</t>
  </si>
  <si>
    <r>
      <t>Minimum Principal Stress, (σ</t>
    </r>
    <r>
      <rPr>
        <vertAlign val="subscript"/>
        <sz val="11"/>
        <color theme="1"/>
        <rFont val="Calibri"/>
        <family val="2"/>
        <scheme val="minor"/>
      </rPr>
      <t>min,pr</t>
    </r>
    <r>
      <rPr>
        <sz val="11"/>
        <color theme="1"/>
        <rFont val="Calibri"/>
        <family val="2"/>
        <scheme val="minor"/>
      </rPr>
      <t>)</t>
    </r>
  </si>
  <si>
    <r>
      <t>Buckling Stress (σ</t>
    </r>
    <r>
      <rPr>
        <vertAlign val="subscript"/>
        <sz val="11"/>
        <color theme="1"/>
        <rFont val="Calibri"/>
        <family val="2"/>
        <scheme val="minor"/>
      </rPr>
      <t>buck</t>
    </r>
    <r>
      <rPr>
        <sz val="11"/>
        <color theme="1"/>
        <rFont val="Calibri"/>
        <family val="2"/>
        <scheme val="minor"/>
      </rPr>
      <t>)</t>
    </r>
  </si>
  <si>
    <r>
      <t>σ</t>
    </r>
    <r>
      <rPr>
        <vertAlign val="subscript"/>
        <sz val="11"/>
        <color theme="1"/>
        <rFont val="Calibri"/>
        <family val="2"/>
        <scheme val="minor"/>
      </rPr>
      <t>min,pr</t>
    </r>
  </si>
  <si>
    <r>
      <t>Plate buckling allowable @ T (F</t>
    </r>
    <r>
      <rPr>
        <vertAlign val="subscript"/>
        <sz val="11"/>
        <color theme="1"/>
        <rFont val="Calibri"/>
        <family val="2"/>
        <scheme val="minor"/>
      </rPr>
      <t>crcs</t>
    </r>
    <r>
      <rPr>
        <sz val="11"/>
        <color theme="1"/>
        <rFont val="Calibri"/>
        <family val="2"/>
        <scheme val="minor"/>
      </rPr>
      <t>)</t>
    </r>
  </si>
  <si>
    <r>
      <t>Material compr. Allowable, (F</t>
    </r>
    <r>
      <rPr>
        <vertAlign val="subscript"/>
        <sz val="11"/>
        <color theme="1"/>
        <rFont val="Calibri"/>
        <family val="2"/>
        <scheme val="minor"/>
      </rPr>
      <t>cy</t>
    </r>
    <r>
      <rPr>
        <sz val="11"/>
        <color theme="1"/>
        <rFont val="Calibri"/>
        <family val="2"/>
        <scheme val="minor"/>
      </rPr>
      <t>)</t>
    </r>
  </si>
  <si>
    <r>
      <t>Material compr. Allowable @ T, (F</t>
    </r>
    <r>
      <rPr>
        <vertAlign val="subscript"/>
        <sz val="11"/>
        <color theme="1"/>
        <rFont val="Calibri"/>
        <family val="2"/>
        <scheme val="minor"/>
      </rPr>
      <t>cy</t>
    </r>
    <r>
      <rPr>
        <sz val="11"/>
        <color theme="1"/>
        <rFont val="Calibri"/>
        <family val="2"/>
        <scheme val="minor"/>
      </rPr>
      <t xml:space="preserve"> x TRF)</t>
    </r>
  </si>
  <si>
    <r>
      <t>Minimum allowable considered, F</t>
    </r>
    <r>
      <rPr>
        <vertAlign val="subscript"/>
        <sz val="11"/>
        <color theme="1"/>
        <rFont val="Calibri"/>
        <family val="2"/>
        <scheme val="minor"/>
      </rPr>
      <t>allow</t>
    </r>
  </si>
  <si>
    <r>
      <t>Margin of Safety, MS</t>
    </r>
    <r>
      <rPr>
        <vertAlign val="subscript"/>
        <sz val="11"/>
        <color theme="1"/>
        <rFont val="Calibri"/>
        <family val="2"/>
        <scheme val="minor"/>
      </rPr>
      <t>buck</t>
    </r>
  </si>
  <si>
    <r>
      <t>Maximum Fatigue Stress, (σ</t>
    </r>
    <r>
      <rPr>
        <vertAlign val="subscript"/>
        <sz val="11"/>
        <color theme="1"/>
        <rFont val="Calibri"/>
        <family val="2"/>
        <scheme val="minor"/>
      </rPr>
      <t>max,fat</t>
    </r>
    <r>
      <rPr>
        <sz val="11"/>
        <color theme="1"/>
        <rFont val="Calibri"/>
        <family val="2"/>
        <scheme val="minor"/>
      </rPr>
      <t>)</t>
    </r>
  </si>
  <si>
    <r>
      <t>Minimum Fatigue Stress, (σ</t>
    </r>
    <r>
      <rPr>
        <vertAlign val="subscript"/>
        <sz val="11"/>
        <color theme="1"/>
        <rFont val="Calibri"/>
        <family val="2"/>
        <scheme val="minor"/>
      </rPr>
      <t>min,fat</t>
    </r>
    <r>
      <rPr>
        <sz val="11"/>
        <color theme="1"/>
        <rFont val="Calibri"/>
        <family val="2"/>
        <scheme val="minor"/>
      </rPr>
      <t>)</t>
    </r>
  </si>
  <si>
    <r>
      <t>σ</t>
    </r>
    <r>
      <rPr>
        <vertAlign val="subscript"/>
        <sz val="11"/>
        <color theme="1"/>
        <rFont val="Calibri"/>
        <family val="2"/>
        <scheme val="minor"/>
      </rPr>
      <t>min,fat</t>
    </r>
  </si>
  <si>
    <r>
      <t>σ</t>
    </r>
    <r>
      <rPr>
        <vertAlign val="subscript"/>
        <sz val="11"/>
        <color theme="1"/>
        <rFont val="Calibri"/>
        <family val="2"/>
        <scheme val="minor"/>
      </rPr>
      <t>max,fat</t>
    </r>
  </si>
  <si>
    <r>
      <t>Equivalent Stress,  (σ</t>
    </r>
    <r>
      <rPr>
        <vertAlign val="subscript"/>
        <sz val="11"/>
        <color theme="1"/>
        <rFont val="Calibri"/>
        <family val="2"/>
        <scheme val="minor"/>
      </rPr>
      <t>eq</t>
    </r>
    <r>
      <rPr>
        <sz val="11"/>
        <color theme="1"/>
        <rFont val="Calibri"/>
        <family val="2"/>
        <scheme val="minor"/>
      </rPr>
      <t>)</t>
    </r>
  </si>
  <si>
    <r>
      <t>σ</t>
    </r>
    <r>
      <rPr>
        <vertAlign val="subscript"/>
        <sz val="11"/>
        <color theme="1"/>
        <rFont val="Calibri"/>
        <family val="2"/>
        <scheme val="minor"/>
      </rPr>
      <t>eq</t>
    </r>
  </si>
  <si>
    <t>Repair Life with SF, (Nf/SF)</t>
  </si>
  <si>
    <r>
      <t>Effective running load, pounds per inch (N</t>
    </r>
    <r>
      <rPr>
        <vertAlign val="subscript"/>
        <sz val="11"/>
        <color theme="1"/>
        <rFont val="Calibri"/>
        <family val="2"/>
        <scheme val="minor"/>
      </rPr>
      <t>eff</t>
    </r>
    <r>
      <rPr>
        <sz val="11"/>
        <color theme="1"/>
        <rFont val="Calibri"/>
        <family val="2"/>
        <scheme val="minor"/>
      </rPr>
      <t>)</t>
    </r>
  </si>
  <si>
    <r>
      <t>Margin of Safety, MS</t>
    </r>
    <r>
      <rPr>
        <vertAlign val="subscript"/>
        <sz val="11"/>
        <color theme="1"/>
        <rFont val="Calibri"/>
        <family val="2"/>
        <scheme val="minor"/>
      </rPr>
      <t>NL</t>
    </r>
  </si>
  <si>
    <r>
      <t>Buckling Stress,  (σ</t>
    </r>
    <r>
      <rPr>
        <vertAlign val="subscript"/>
        <sz val="11"/>
        <color theme="1"/>
        <rFont val="Calibri"/>
        <family val="2"/>
        <scheme val="minor"/>
      </rPr>
      <t>buck</t>
    </r>
    <r>
      <rPr>
        <sz val="11"/>
        <color theme="1"/>
        <rFont val="Calibri"/>
        <family val="2"/>
        <scheme val="minor"/>
      </rPr>
      <t>)</t>
    </r>
  </si>
  <si>
    <r>
      <t>Plate buckling allowable @ T, (F</t>
    </r>
    <r>
      <rPr>
        <vertAlign val="subscript"/>
        <sz val="11"/>
        <color theme="1"/>
        <rFont val="Calibri"/>
        <family val="2"/>
        <scheme val="minor"/>
      </rPr>
      <t>crcs</t>
    </r>
    <r>
      <rPr>
        <sz val="11"/>
        <color theme="1"/>
        <rFont val="Calibri"/>
        <family val="2"/>
        <scheme val="minor"/>
      </rPr>
      <t>)</t>
    </r>
  </si>
  <si>
    <r>
      <t>F</t>
    </r>
    <r>
      <rPr>
        <vertAlign val="subscript"/>
        <sz val="11"/>
        <color theme="1"/>
        <rFont val="Calibri"/>
        <family val="2"/>
        <scheme val="minor"/>
      </rPr>
      <t>cy</t>
    </r>
    <r>
      <rPr>
        <sz val="11"/>
        <color theme="1"/>
        <rFont val="Calibri"/>
        <family val="2"/>
        <scheme val="minor"/>
      </rPr>
      <t xml:space="preserve"> x TRF</t>
    </r>
  </si>
  <si>
    <r>
      <t>F</t>
    </r>
    <r>
      <rPr>
        <vertAlign val="subscript"/>
        <sz val="11"/>
        <color theme="1"/>
        <rFont val="Calibri"/>
        <family val="2"/>
        <scheme val="minor"/>
      </rPr>
      <t>cy</t>
    </r>
  </si>
  <si>
    <t>Yield Tensile Allowable (Fty)</t>
  </si>
  <si>
    <t>E, PSI</t>
  </si>
  <si>
    <t>Thermal Reduction Factor @ Ec</t>
  </si>
  <si>
    <t>Thermal Reduction Factor @ Fcy</t>
  </si>
  <si>
    <t>1. Updated buckling Allowable formula
2. Updated GUI for stability and Repoitioning analysis
3. Updated the database and modified the script accordingly</t>
  </si>
  <si>
    <t xml:space="preserve">Included report generation button at userguide tab </t>
  </si>
  <si>
    <t>Temperature Reduction Factor of Ftu</t>
  </si>
  <si>
    <t>Temperature Reduction Factor of Fcy</t>
  </si>
  <si>
    <t>Ec x TRF</t>
  </si>
  <si>
    <t>Scatter Factor</t>
  </si>
  <si>
    <t>SF</t>
  </si>
  <si>
    <t>Aircraft Life</t>
  </si>
  <si>
    <t>Ec TRF</t>
  </si>
  <si>
    <t>1. Compressive sign updated in the database, script updated accordingly
2. Multiple Dent classification logic updated</t>
  </si>
  <si>
    <t>Tension Loadcase</t>
  </si>
  <si>
    <t>Young's Modulous, Ec, PSI</t>
  </si>
  <si>
    <t>Ftu TRF</t>
  </si>
  <si>
    <t>FTU, PSI</t>
  </si>
  <si>
    <t>Fcy TRF</t>
  </si>
  <si>
    <t>B767</t>
  </si>
  <si>
    <t>CF6-80C2</t>
  </si>
  <si>
    <t>LOAD CASE 156: PHA20107-AION - TAKEOFF ENVELOPE FLIGHT CONDITION (ANTI-ICE ON)</t>
  </si>
  <si>
    <t>RHR 85-001 ADDENDUM 1
CF6-80C2/767/747 Nacelle System Static Stress Analysis</t>
  </si>
  <si>
    <t>B747</t>
  </si>
  <si>
    <t>CFM56-5A</t>
  </si>
  <si>
    <t>LOAD CASE 100: MAX T/O PITCH MANEUVER (LIMIT), ANTI-ICE ON</t>
  </si>
  <si>
    <t>RHR 85-054 ADDENDUM C
A320/CFM56-5A1 Nacelle System Static Stress Analysis Volume 1</t>
  </si>
  <si>
    <t>B717</t>
  </si>
  <si>
    <t>MD-95</t>
  </si>
  <si>
    <t>LOAD CASE 184 - FAT20801 TAKE-OFF, A/I ON UNREGULATED, HOT DAY</t>
  </si>
  <si>
    <t>RHR 96-028 Rev. C</t>
  </si>
  <si>
    <t>BR715</t>
  </si>
  <si>
    <t>A310</t>
  </si>
  <si>
    <t>CF6-80A1</t>
  </si>
  <si>
    <t>LOAD CASE 104</t>
  </si>
  <si>
    <t>RHR 80-037 Vol 1</t>
  </si>
  <si>
    <t>CF6-80A3</t>
  </si>
  <si>
    <t>A300</t>
  </si>
  <si>
    <t>Load Case 101</t>
  </si>
  <si>
    <t>RHR 84-003 Rev A Vol 1,
No tension Value. -5871 is axial stress</t>
  </si>
  <si>
    <t>MD11</t>
  </si>
  <si>
    <t>LOAD CASE 159</t>
  </si>
  <si>
    <t>RHR 88-006 Vol 4 Rev D Add 1</t>
  </si>
  <si>
    <t>A330</t>
  </si>
  <si>
    <t>CF6-80E1</t>
  </si>
  <si>
    <t>Load Case 44: NACFAT20201-LDR-SURGE (ULTIMATE), ANTI-ICE ON</t>
  </si>
  <si>
    <t>Load CASE 61: NACDFT30903-FSN (LIMIT), FAILED SWIRL NOZZLE</t>
  </si>
  <si>
    <t>RHR 89-140 Rev A Vol 1 &amp; 2
RHR 89-141 Vol 1 and 2</t>
  </si>
  <si>
    <t>Updated Database for B747, B767, B717, A310, A300, MD11, A330 programs based on Sravya's file</t>
  </si>
  <si>
    <t>AL2219-T62 Material Details</t>
  </si>
  <si>
    <t>Updated fatigue analysis approach for all programs</t>
  </si>
  <si>
    <t>PW4000</t>
  </si>
  <si>
    <t>RHR 85-029 ADD 4 VOL 1</t>
  </si>
  <si>
    <t>Tension</t>
  </si>
  <si>
    <t>RHR 88-129 ADD 1, 2 &amp; 3 VOL 1</t>
  </si>
  <si>
    <t>MD90</t>
  </si>
  <si>
    <t>V2500-D5</t>
  </si>
  <si>
    <t>Compression</t>
  </si>
  <si>
    <t>RHR 90-215 V2500 Vol 2 Sect 2 Static and Failsafe Inlet Cowl</t>
  </si>
  <si>
    <t>Updated Database for Aircraft MD90 and program PW4000</t>
  </si>
  <si>
    <t>Conservatively assumed Max. Fatigue stress as positive compressive stress for the programs "CF6-80C2" and "PW4000". This gives an R = -1 that is a fully reverse condition.</t>
  </si>
  <si>
    <t>A340</t>
  </si>
  <si>
    <t>CFM56-5C</t>
  </si>
  <si>
    <t>RHR 90-042 Vol 1 REV A PT 2
RHR 90-043 Vol 1 REV A</t>
  </si>
  <si>
    <t>Updated the database with A340</t>
  </si>
  <si>
    <t>1. Added report generation button at fatigue and Repositioning tab
2. While report genartion included option for User to generate report with or without rejection cases</t>
  </si>
  <si>
    <t>Ftu,ult_strain, PSI</t>
  </si>
  <si>
    <t>Tens-allowable at ultimate strain</t>
  </si>
  <si>
    <t>Ftu_ult_strain</t>
  </si>
  <si>
    <r>
      <t>LOAD CASE 156: PHA20107-AION - TAKEOFF ENVELOPE FLIGHT CONDITION (ANTI-ICE ON), T = 331</t>
    </r>
    <r>
      <rPr>
        <vertAlign val="superscript"/>
        <sz val="11"/>
        <color theme="1"/>
        <rFont val="Calibri"/>
        <family val="2"/>
        <scheme val="minor"/>
      </rPr>
      <t>0</t>
    </r>
    <r>
      <rPr>
        <sz val="11"/>
        <color theme="1"/>
        <rFont val="Calibri"/>
        <family val="2"/>
        <scheme val="minor"/>
      </rPr>
      <t xml:space="preserve"> F</t>
    </r>
  </si>
  <si>
    <t>DRT23000 - Max T/O, M=0.45, ALT=0.0FT, HOT DAY, A/I BURST DUCT in D-duct, T = 438°F</t>
  </si>
  <si>
    <t>LOAD CASE 100: MAX T/O PITCH MANEUVER (LIMIT), ANTI-ICE ON, T = 438°F</t>
  </si>
  <si>
    <t>LOAD CASE 184 - FAT20801 TAKE-OFF, A/I ON UNREGULATED, HOT DAY, T = 550°F</t>
  </si>
  <si>
    <t>LOAD CASE 104, 525°F</t>
  </si>
  <si>
    <t>Load Case 101, 535°F</t>
  </si>
  <si>
    <t>LOAD CASE 159, 300°F</t>
  </si>
  <si>
    <r>
      <t>Load Case 44: NACFAT20201-LDR-SURGE (ULTIMATE), ANTI-ICE ON, T = 460</t>
    </r>
    <r>
      <rPr>
        <vertAlign val="superscript"/>
        <sz val="11"/>
        <color theme="1"/>
        <rFont val="Calibri"/>
        <family val="2"/>
        <scheme val="minor"/>
      </rPr>
      <t>0</t>
    </r>
    <r>
      <rPr>
        <sz val="11"/>
        <color theme="1"/>
        <rFont val="Calibri"/>
        <family val="2"/>
        <scheme val="minor"/>
      </rPr>
      <t xml:space="preserve"> F</t>
    </r>
  </si>
  <si>
    <r>
      <t>Load CASE 61: NACDFT30903-FSN (LIMIT), FAILED SWIRL NOZZLE, T = 460</t>
    </r>
    <r>
      <rPr>
        <vertAlign val="superscript"/>
        <sz val="11"/>
        <color theme="1"/>
        <rFont val="Calibri"/>
        <family val="2"/>
        <scheme val="minor"/>
      </rPr>
      <t xml:space="preserve">0 </t>
    </r>
    <r>
      <rPr>
        <sz val="11"/>
        <color theme="1"/>
        <rFont val="Calibri"/>
        <family val="2"/>
        <scheme val="minor"/>
      </rPr>
      <t>F</t>
    </r>
  </si>
  <si>
    <t>Load Case 44: NACFAT20201-LDR-SURGE (ULTIMATE), ANTI-ICE ON, 460°F</t>
  </si>
  <si>
    <t>Load CASE 61: NACDFT30903-FSN (LIMIT), FAILED SWIRL NOZZLE, 460°F</t>
  </si>
  <si>
    <t>Load CASE 60: Combined Pressure and Thermal loading with Anti-ice Off, 480°F</t>
  </si>
  <si>
    <t>PHA 30407B-IDR Burst Ultimate, 388°F</t>
  </si>
  <si>
    <t>CASE Thermal + PAC PHA20002B-TFV, 388°F</t>
  </si>
  <si>
    <t>N2BPON, 393°F</t>
  </si>
  <si>
    <t>N2BPON, 501°F</t>
  </si>
  <si>
    <t>Case 357 NHA 43140 Duct Rupture, 450°F</t>
  </si>
  <si>
    <t>Conclusion</t>
  </si>
  <si>
    <t xml:space="preserve">1. Added "Conclusion" at fatigue analysis in Report generation
2. Updated Temp. in Database loadcase
3. Added "Ultimate Tens-allowable" in material table
4. At single dent analysis, while generating Report excluded repositioning analysis if Classifiaction is "Class1" 
5. At multiple dent analysis Report won't be generated if Classifiaction is "Class1". </t>
  </si>
  <si>
    <t>Added the macro to write log report</t>
  </si>
  <si>
    <t>KSI</t>
  </si>
  <si>
    <t>1. Updated the compressive stress to negative sign in the Load details. 2. Updated unit in fatigue stress table.</t>
  </si>
  <si>
    <t>Added the multiple dent picture at user guide</t>
  </si>
  <si>
    <t>User must save report as "CVxx - xxxxx STRESS"
Updated Ftu, TRF values for B737 program</t>
  </si>
  <si>
    <t>Updated the deformation strain calculation equation as per Cecilia suggestion</t>
  </si>
  <si>
    <t>Description correction at Flight re-positioning Tab</t>
  </si>
  <si>
    <t>Description correction at Flight re-positioning Tab as per mail dated 23-Apr-21</t>
  </si>
  <si>
    <t>1. Captures the log as and when tool is opened.
2. Captures the log when User generates the report.</t>
  </si>
  <si>
    <t>No. of times Log created</t>
  </si>
  <si>
    <t>SI#</t>
  </si>
  <si>
    <t>Tool</t>
  </si>
  <si>
    <t>Release</t>
  </si>
  <si>
    <t>CV20-00032</t>
  </si>
  <si>
    <t>1. Captures the log only once even if user runs the analysis multiple times
2. Retained the old equation for deformed strain calculation as suggested by cecilia
3. "Welcome" and "Goodbye" message when tool is opened and closed</t>
  </si>
  <si>
    <t>Fcu, psi</t>
  </si>
  <si>
    <t>Limit Compressive Allowable (Fcy)</t>
  </si>
  <si>
    <r>
      <t>Z</t>
    </r>
    <r>
      <rPr>
        <vertAlign val="subscript"/>
        <sz val="11"/>
        <color theme="1"/>
        <rFont val="Calibri"/>
        <family val="2"/>
        <scheme val="minor"/>
      </rPr>
      <t>L</t>
    </r>
    <r>
      <rPr>
        <sz val="11"/>
        <color theme="1"/>
        <rFont val="Calibri"/>
        <family val="2"/>
        <scheme val="minor"/>
      </rPr>
      <t xml:space="preserve"> &gt;= 3000, r = 20</t>
    </r>
  </si>
  <si>
    <r>
      <t>Z</t>
    </r>
    <r>
      <rPr>
        <vertAlign val="subscript"/>
        <sz val="11"/>
        <color theme="1"/>
        <rFont val="Calibri"/>
        <family val="2"/>
        <scheme val="minor"/>
      </rPr>
      <t>L</t>
    </r>
    <r>
      <rPr>
        <sz val="11"/>
        <color theme="1"/>
        <rFont val="Calibri"/>
        <family val="2"/>
        <scheme val="minor"/>
      </rPr>
      <t xml:space="preserve"> &gt;= 3000, r = 30</t>
    </r>
  </si>
  <si>
    <r>
      <t>Z</t>
    </r>
    <r>
      <rPr>
        <vertAlign val="subscript"/>
        <sz val="11"/>
        <color theme="1"/>
        <rFont val="Calibri"/>
        <family val="2"/>
        <scheme val="minor"/>
      </rPr>
      <t>L</t>
    </r>
    <r>
      <rPr>
        <sz val="11"/>
        <color theme="1"/>
        <rFont val="Calibri"/>
        <family val="2"/>
        <scheme val="minor"/>
      </rPr>
      <t xml:space="preserve"> &gt;= 3000, r = 40</t>
    </r>
  </si>
  <si>
    <r>
      <t>Z</t>
    </r>
    <r>
      <rPr>
        <vertAlign val="subscript"/>
        <sz val="11"/>
        <color theme="1"/>
        <rFont val="Calibri"/>
        <family val="2"/>
        <scheme val="minor"/>
      </rPr>
      <t>L</t>
    </r>
    <r>
      <rPr>
        <sz val="11"/>
        <color theme="1"/>
        <rFont val="Calibri"/>
        <family val="2"/>
        <scheme val="minor"/>
      </rPr>
      <t xml:space="preserve"> &gt;= 3000, r = 50</t>
    </r>
  </si>
  <si>
    <r>
      <t>Z</t>
    </r>
    <r>
      <rPr>
        <vertAlign val="subscript"/>
        <sz val="11"/>
        <color theme="1"/>
        <rFont val="Calibri"/>
        <family val="2"/>
        <scheme val="minor"/>
      </rPr>
      <t>L</t>
    </r>
    <r>
      <rPr>
        <sz val="11"/>
        <color theme="1"/>
        <rFont val="Calibri"/>
        <family val="2"/>
        <scheme val="minor"/>
      </rPr>
      <t xml:space="preserve"> &gt;= 3000, r = 60</t>
    </r>
  </si>
  <si>
    <r>
      <t>Z</t>
    </r>
    <r>
      <rPr>
        <vertAlign val="subscript"/>
        <sz val="11"/>
        <color theme="1"/>
        <rFont val="Calibri"/>
        <family val="2"/>
        <scheme val="minor"/>
      </rPr>
      <t>L</t>
    </r>
    <r>
      <rPr>
        <sz val="11"/>
        <color theme="1"/>
        <rFont val="Calibri"/>
        <family val="2"/>
        <scheme val="minor"/>
      </rPr>
      <t xml:space="preserve"> &gt;= 3000, r = 70</t>
    </r>
  </si>
  <si>
    <r>
      <t>Z</t>
    </r>
    <r>
      <rPr>
        <vertAlign val="subscript"/>
        <sz val="11"/>
        <color theme="1"/>
        <rFont val="Calibri"/>
        <family val="2"/>
        <scheme val="minor"/>
      </rPr>
      <t>L</t>
    </r>
    <r>
      <rPr>
        <sz val="11"/>
        <color theme="1"/>
        <rFont val="Calibri"/>
        <family val="2"/>
        <scheme val="minor"/>
      </rPr>
      <t xml:space="preserve"> &gt;= 3000, r = 80</t>
    </r>
  </si>
  <si>
    <r>
      <t>Z</t>
    </r>
    <r>
      <rPr>
        <vertAlign val="subscript"/>
        <sz val="11"/>
        <color theme="1"/>
        <rFont val="Calibri"/>
        <family val="2"/>
        <scheme val="minor"/>
      </rPr>
      <t>L</t>
    </r>
    <r>
      <rPr>
        <sz val="11"/>
        <color theme="1"/>
        <rFont val="Calibri"/>
        <family val="2"/>
        <scheme val="minor"/>
      </rPr>
      <t xml:space="preserve"> &gt;= 3000, r = 90</t>
    </r>
  </si>
  <si>
    <r>
      <t>Z</t>
    </r>
    <r>
      <rPr>
        <vertAlign val="subscript"/>
        <sz val="11"/>
        <color theme="1"/>
        <rFont val="Calibri"/>
        <family val="2"/>
        <scheme val="minor"/>
      </rPr>
      <t>L</t>
    </r>
    <r>
      <rPr>
        <sz val="11"/>
        <color theme="1"/>
        <rFont val="Calibri"/>
        <family val="2"/>
        <scheme val="minor"/>
      </rPr>
      <t xml:space="preserve"> &gt;= 3000 and Z</t>
    </r>
    <r>
      <rPr>
        <vertAlign val="subscript"/>
        <sz val="11"/>
        <color theme="1"/>
        <rFont val="Calibri"/>
        <family val="2"/>
        <scheme val="minor"/>
      </rPr>
      <t xml:space="preserve">L </t>
    </r>
    <r>
      <rPr>
        <sz val="11"/>
        <color theme="1"/>
        <rFont val="Calibri"/>
        <family val="2"/>
        <scheme val="minor"/>
      </rPr>
      <t>&lt; =10000 r = 100</t>
    </r>
  </si>
  <si>
    <r>
      <t>Z</t>
    </r>
    <r>
      <rPr>
        <vertAlign val="subscript"/>
        <sz val="11"/>
        <color theme="1"/>
        <rFont val="Calibri"/>
        <family val="2"/>
        <scheme val="minor"/>
      </rPr>
      <t>L</t>
    </r>
    <r>
      <rPr>
        <sz val="11"/>
        <color theme="1"/>
        <rFont val="Calibri"/>
        <family val="2"/>
        <scheme val="minor"/>
      </rPr>
      <t xml:space="preserve"> &gt;= 10000 r = 100</t>
    </r>
  </si>
  <si>
    <r>
      <t>y_100 = 3E-13x</t>
    </r>
    <r>
      <rPr>
        <vertAlign val="superscript"/>
        <sz val="11"/>
        <color theme="1"/>
        <rFont val="Calibri"/>
        <family val="2"/>
        <scheme val="minor"/>
      </rPr>
      <t>3</t>
    </r>
    <r>
      <rPr>
        <sz val="11"/>
        <color theme="1"/>
        <rFont val="Calibri"/>
        <family val="2"/>
        <scheme val="minor"/>
      </rPr>
      <t xml:space="preserve"> - 6E-08x</t>
    </r>
    <r>
      <rPr>
        <vertAlign val="superscript"/>
        <sz val="11"/>
        <color theme="1"/>
        <rFont val="Calibri"/>
        <family val="2"/>
        <scheme val="minor"/>
      </rPr>
      <t>2</t>
    </r>
    <r>
      <rPr>
        <sz val="11"/>
        <color theme="1"/>
        <rFont val="Calibri"/>
        <family val="2"/>
        <scheme val="minor"/>
      </rPr>
      <t xml:space="preserve"> + 0.0055x + 44.901</t>
    </r>
  </si>
  <si>
    <r>
      <t>Z</t>
    </r>
    <r>
      <rPr>
        <vertAlign val="subscript"/>
        <sz val="11"/>
        <color theme="1"/>
        <rFont val="Calibri"/>
        <family val="2"/>
        <scheme val="minor"/>
      </rPr>
      <t>L</t>
    </r>
    <r>
      <rPr>
        <sz val="11"/>
        <color theme="1"/>
        <rFont val="Calibri"/>
        <family val="2"/>
        <scheme val="minor"/>
      </rPr>
      <t xml:space="preserve"> &lt;= 300, r = 20</t>
    </r>
  </si>
  <si>
    <r>
      <t>Z</t>
    </r>
    <r>
      <rPr>
        <vertAlign val="subscript"/>
        <sz val="11"/>
        <color theme="1"/>
        <rFont val="Calibri"/>
        <family val="2"/>
        <scheme val="minor"/>
      </rPr>
      <t>L</t>
    </r>
    <r>
      <rPr>
        <sz val="11"/>
        <color theme="1"/>
        <rFont val="Calibri"/>
        <family val="2"/>
        <scheme val="minor"/>
      </rPr>
      <t xml:space="preserve"> &lt;= 300, r = 50</t>
    </r>
  </si>
  <si>
    <r>
      <t>Z</t>
    </r>
    <r>
      <rPr>
        <vertAlign val="subscript"/>
        <sz val="11"/>
        <color theme="1"/>
        <rFont val="Calibri"/>
        <family val="2"/>
        <scheme val="minor"/>
      </rPr>
      <t xml:space="preserve">L </t>
    </r>
    <r>
      <rPr>
        <sz val="11"/>
        <color theme="1"/>
        <rFont val="Calibri"/>
        <family val="2"/>
        <scheme val="minor"/>
      </rPr>
      <t>&lt;= 300, r = 100</t>
    </r>
  </si>
  <si>
    <r>
      <t>Z</t>
    </r>
    <r>
      <rPr>
        <vertAlign val="subscript"/>
        <sz val="11"/>
        <color theme="1"/>
        <rFont val="Calibri"/>
        <family val="2"/>
        <scheme val="minor"/>
      </rPr>
      <t>L</t>
    </r>
    <r>
      <rPr>
        <sz val="11"/>
        <color theme="1"/>
        <rFont val="Calibri"/>
        <family val="2"/>
        <scheme val="minor"/>
      </rPr>
      <t xml:space="preserve"> &gt; 300 &amp; Z</t>
    </r>
    <r>
      <rPr>
        <vertAlign val="subscript"/>
        <sz val="11"/>
        <color theme="1"/>
        <rFont val="Calibri"/>
        <family val="2"/>
        <scheme val="minor"/>
      </rPr>
      <t xml:space="preserve">L </t>
    </r>
    <r>
      <rPr>
        <sz val="11"/>
        <color theme="1"/>
        <rFont val="Calibri"/>
        <family val="2"/>
        <scheme val="minor"/>
      </rPr>
      <t>&lt;3000, r = 20</t>
    </r>
  </si>
  <si>
    <r>
      <t>Z</t>
    </r>
    <r>
      <rPr>
        <vertAlign val="subscript"/>
        <sz val="11"/>
        <color theme="1"/>
        <rFont val="Calibri"/>
        <family val="2"/>
        <scheme val="minor"/>
      </rPr>
      <t>L</t>
    </r>
    <r>
      <rPr>
        <sz val="11"/>
        <color theme="1"/>
        <rFont val="Calibri"/>
        <family val="2"/>
        <scheme val="minor"/>
      </rPr>
      <t xml:space="preserve"> &gt; 300 &amp; Z</t>
    </r>
    <r>
      <rPr>
        <vertAlign val="subscript"/>
        <sz val="11"/>
        <color theme="1"/>
        <rFont val="Calibri"/>
        <family val="2"/>
        <scheme val="minor"/>
      </rPr>
      <t xml:space="preserve">L </t>
    </r>
    <r>
      <rPr>
        <sz val="11"/>
        <color theme="1"/>
        <rFont val="Calibri"/>
        <family val="2"/>
        <scheme val="minor"/>
      </rPr>
      <t>&lt;3000, r = 50</t>
    </r>
  </si>
  <si>
    <r>
      <t>Z</t>
    </r>
    <r>
      <rPr>
        <vertAlign val="subscript"/>
        <sz val="11"/>
        <color theme="1"/>
        <rFont val="Calibri"/>
        <family val="2"/>
        <scheme val="minor"/>
      </rPr>
      <t>L</t>
    </r>
    <r>
      <rPr>
        <sz val="11"/>
        <color theme="1"/>
        <rFont val="Calibri"/>
        <family val="2"/>
        <scheme val="minor"/>
      </rPr>
      <t xml:space="preserve"> &gt; 300 &amp; Z</t>
    </r>
    <r>
      <rPr>
        <vertAlign val="subscript"/>
        <sz val="11"/>
        <color theme="1"/>
        <rFont val="Calibri"/>
        <family val="2"/>
        <scheme val="minor"/>
      </rPr>
      <t xml:space="preserve">L </t>
    </r>
    <r>
      <rPr>
        <sz val="11"/>
        <color theme="1"/>
        <rFont val="Calibri"/>
        <family val="2"/>
        <scheme val="minor"/>
      </rPr>
      <t>&lt;3000, r = 100</t>
    </r>
  </si>
  <si>
    <t>Ky</t>
  </si>
  <si>
    <t>ZL</t>
  </si>
  <si>
    <t>y = y1 + ((x – x1) / (x2 – x1)) * (y2 – y1)</t>
  </si>
  <si>
    <r>
      <t>Z</t>
    </r>
    <r>
      <rPr>
        <b/>
        <vertAlign val="subscript"/>
        <sz val="11"/>
        <color theme="1"/>
        <rFont val="Calibri"/>
        <family val="2"/>
        <scheme val="minor"/>
      </rPr>
      <t>L</t>
    </r>
  </si>
  <si>
    <r>
      <t>y = -1E-11x</t>
    </r>
    <r>
      <rPr>
        <vertAlign val="superscript"/>
        <sz val="11"/>
        <color theme="1"/>
        <rFont val="Calibri"/>
        <family val="2"/>
        <scheme val="minor"/>
      </rPr>
      <t>4</t>
    </r>
    <r>
      <rPr>
        <sz val="11"/>
        <color theme="1"/>
        <rFont val="Calibri"/>
        <family val="2"/>
        <scheme val="minor"/>
      </rPr>
      <t xml:space="preserve"> + 7E-08x</t>
    </r>
    <r>
      <rPr>
        <vertAlign val="superscript"/>
        <sz val="11"/>
        <color theme="1"/>
        <rFont val="Calibri"/>
        <family val="2"/>
        <scheme val="minor"/>
      </rPr>
      <t>3</t>
    </r>
    <r>
      <rPr>
        <sz val="11"/>
        <color theme="1"/>
        <rFont val="Calibri"/>
        <family val="2"/>
        <scheme val="minor"/>
      </rPr>
      <t xml:space="preserve"> - 0.0001x</t>
    </r>
    <r>
      <rPr>
        <vertAlign val="superscript"/>
        <sz val="11"/>
        <color theme="1"/>
        <rFont val="Calibri"/>
        <family val="2"/>
        <scheme val="minor"/>
      </rPr>
      <t>2</t>
    </r>
    <r>
      <rPr>
        <sz val="11"/>
        <color theme="1"/>
        <rFont val="Calibri"/>
        <family val="2"/>
        <scheme val="minor"/>
      </rPr>
      <t xml:space="preserve"> + 0.0744x + 4.573</t>
    </r>
  </si>
  <si>
    <r>
      <t>y = -7E-17x</t>
    </r>
    <r>
      <rPr>
        <vertAlign val="superscript"/>
        <sz val="11"/>
        <color theme="1"/>
        <rFont val="Calibri"/>
        <family val="2"/>
        <scheme val="minor"/>
      </rPr>
      <t>6</t>
    </r>
    <r>
      <rPr>
        <sz val="11"/>
        <color theme="1"/>
        <rFont val="Calibri"/>
        <family val="2"/>
        <scheme val="minor"/>
      </rPr>
      <t xml:space="preserve"> + 4E-13x</t>
    </r>
    <r>
      <rPr>
        <vertAlign val="superscript"/>
        <sz val="11"/>
        <color theme="1"/>
        <rFont val="Calibri"/>
        <family val="2"/>
        <scheme val="minor"/>
      </rPr>
      <t>5</t>
    </r>
    <r>
      <rPr>
        <sz val="11"/>
        <color theme="1"/>
        <rFont val="Calibri"/>
        <family val="2"/>
        <scheme val="minor"/>
      </rPr>
      <t xml:space="preserve"> - 8E-10x</t>
    </r>
    <r>
      <rPr>
        <vertAlign val="superscript"/>
        <sz val="11"/>
        <color theme="1"/>
        <rFont val="Calibri"/>
        <family val="2"/>
        <scheme val="minor"/>
      </rPr>
      <t>4</t>
    </r>
    <r>
      <rPr>
        <sz val="11"/>
        <color theme="1"/>
        <rFont val="Calibri"/>
        <family val="2"/>
        <scheme val="minor"/>
      </rPr>
      <t xml:space="preserve"> + 7E-07x</t>
    </r>
    <r>
      <rPr>
        <vertAlign val="superscript"/>
        <sz val="11"/>
        <color theme="1"/>
        <rFont val="Calibri"/>
        <family val="2"/>
        <scheme val="minor"/>
      </rPr>
      <t>3</t>
    </r>
    <r>
      <rPr>
        <sz val="11"/>
        <color theme="1"/>
        <rFont val="Calibri"/>
        <family val="2"/>
        <scheme val="minor"/>
      </rPr>
      <t xml:space="preserve"> - 0.0003x</t>
    </r>
    <r>
      <rPr>
        <vertAlign val="superscript"/>
        <sz val="11"/>
        <color theme="1"/>
        <rFont val="Calibri"/>
        <family val="2"/>
        <scheme val="minor"/>
      </rPr>
      <t>2</t>
    </r>
    <r>
      <rPr>
        <sz val="11"/>
        <color theme="1"/>
        <rFont val="Calibri"/>
        <family val="2"/>
        <scheme val="minor"/>
      </rPr>
      <t xml:space="preserve"> + 0.101x + 4.2059</t>
    </r>
  </si>
  <si>
    <r>
      <t>y = -9E-17x</t>
    </r>
    <r>
      <rPr>
        <vertAlign val="superscript"/>
        <sz val="11"/>
        <color theme="1"/>
        <rFont val="Calibri"/>
        <family val="2"/>
        <scheme val="minor"/>
      </rPr>
      <t>6</t>
    </r>
    <r>
      <rPr>
        <sz val="11"/>
        <color theme="1"/>
        <rFont val="Calibri"/>
        <family val="2"/>
        <scheme val="minor"/>
      </rPr>
      <t xml:space="preserve"> + 5E-13x</t>
    </r>
    <r>
      <rPr>
        <vertAlign val="superscript"/>
        <sz val="11"/>
        <color theme="1"/>
        <rFont val="Calibri"/>
        <family val="2"/>
        <scheme val="minor"/>
      </rPr>
      <t>5</t>
    </r>
    <r>
      <rPr>
        <sz val="11"/>
        <color theme="1"/>
        <rFont val="Calibri"/>
        <family val="2"/>
        <scheme val="minor"/>
      </rPr>
      <t xml:space="preserve"> - 9E-10x</t>
    </r>
    <r>
      <rPr>
        <vertAlign val="superscript"/>
        <sz val="11"/>
        <color theme="1"/>
        <rFont val="Calibri"/>
        <family val="2"/>
        <scheme val="minor"/>
      </rPr>
      <t>4</t>
    </r>
    <r>
      <rPr>
        <sz val="11"/>
        <color theme="1"/>
        <rFont val="Calibri"/>
        <family val="2"/>
        <scheme val="minor"/>
      </rPr>
      <t xml:space="preserve"> + 7E-07x</t>
    </r>
    <r>
      <rPr>
        <vertAlign val="superscript"/>
        <sz val="11"/>
        <color theme="1"/>
        <rFont val="Calibri"/>
        <family val="2"/>
        <scheme val="minor"/>
      </rPr>
      <t>3</t>
    </r>
    <r>
      <rPr>
        <sz val="11"/>
        <color theme="1"/>
        <rFont val="Calibri"/>
        <family val="2"/>
        <scheme val="minor"/>
      </rPr>
      <t xml:space="preserve"> - 0.0003x</t>
    </r>
    <r>
      <rPr>
        <vertAlign val="superscript"/>
        <sz val="11"/>
        <color theme="1"/>
        <rFont val="Calibri"/>
        <family val="2"/>
        <scheme val="minor"/>
      </rPr>
      <t>2</t>
    </r>
    <r>
      <rPr>
        <sz val="11"/>
        <color theme="1"/>
        <rFont val="Calibri"/>
        <family val="2"/>
        <scheme val="minor"/>
      </rPr>
      <t xml:space="preserve"> + 0.0958x + 4.2422</t>
    </r>
  </si>
  <si>
    <r>
      <t>y_20 = 1E-17x</t>
    </r>
    <r>
      <rPr>
        <vertAlign val="superscript"/>
        <sz val="11"/>
        <color theme="1"/>
        <rFont val="Calibri"/>
        <family val="2"/>
        <scheme val="minor"/>
      </rPr>
      <t>4</t>
    </r>
    <r>
      <rPr>
        <sz val="11"/>
        <color theme="1"/>
        <rFont val="Calibri"/>
        <family val="2"/>
        <scheme val="minor"/>
      </rPr>
      <t xml:space="preserve"> - 9E-13x</t>
    </r>
    <r>
      <rPr>
        <vertAlign val="superscript"/>
        <sz val="11"/>
        <color theme="1"/>
        <rFont val="Calibri"/>
        <family val="2"/>
        <scheme val="minor"/>
      </rPr>
      <t>3</t>
    </r>
    <r>
      <rPr>
        <sz val="11"/>
        <color theme="1"/>
        <rFont val="Calibri"/>
        <family val="2"/>
        <scheme val="minor"/>
      </rPr>
      <t xml:space="preserve"> + 9E-08x</t>
    </r>
    <r>
      <rPr>
        <vertAlign val="superscript"/>
        <sz val="11"/>
        <color theme="1"/>
        <rFont val="Calibri"/>
        <family val="2"/>
        <scheme val="minor"/>
      </rPr>
      <t>2</t>
    </r>
    <r>
      <rPr>
        <sz val="11"/>
        <color theme="1"/>
        <rFont val="Calibri"/>
        <family val="2"/>
        <scheme val="minor"/>
      </rPr>
      <t xml:space="preserve"> + 0.0107x + 24.048</t>
    </r>
  </si>
  <si>
    <r>
      <t>y_30 = 2E-32x</t>
    </r>
    <r>
      <rPr>
        <vertAlign val="superscript"/>
        <sz val="11"/>
        <color theme="1"/>
        <rFont val="Calibri"/>
        <family val="2"/>
        <scheme val="minor"/>
      </rPr>
      <t>5</t>
    </r>
    <r>
      <rPr>
        <sz val="11"/>
        <color theme="1"/>
        <rFont val="Calibri"/>
        <family val="2"/>
        <scheme val="minor"/>
      </rPr>
      <t xml:space="preserve"> - 5E-27x</t>
    </r>
    <r>
      <rPr>
        <vertAlign val="superscript"/>
        <sz val="11"/>
        <color theme="1"/>
        <rFont val="Calibri"/>
        <family val="2"/>
        <scheme val="minor"/>
      </rPr>
      <t>4</t>
    </r>
    <r>
      <rPr>
        <sz val="11"/>
        <color theme="1"/>
        <rFont val="Calibri"/>
        <family val="2"/>
        <scheme val="minor"/>
      </rPr>
      <t xml:space="preserve"> + 8E-13x</t>
    </r>
    <r>
      <rPr>
        <vertAlign val="superscript"/>
        <sz val="11"/>
        <color theme="1"/>
        <rFont val="Calibri"/>
        <family val="2"/>
        <scheme val="minor"/>
      </rPr>
      <t>3</t>
    </r>
    <r>
      <rPr>
        <sz val="11"/>
        <color theme="1"/>
        <rFont val="Calibri"/>
        <family val="2"/>
        <scheme val="minor"/>
      </rPr>
      <t xml:space="preserve"> - 3E-08x</t>
    </r>
    <r>
      <rPr>
        <vertAlign val="superscript"/>
        <sz val="11"/>
        <color theme="1"/>
        <rFont val="Calibri"/>
        <family val="2"/>
        <scheme val="minor"/>
      </rPr>
      <t>2</t>
    </r>
    <r>
      <rPr>
        <sz val="11"/>
        <color theme="1"/>
        <rFont val="Calibri"/>
        <family val="2"/>
        <scheme val="minor"/>
      </rPr>
      <t xml:space="preserve"> + 0.0109x + 22.544</t>
    </r>
  </si>
  <si>
    <r>
      <t>y_40 = 1E-32x</t>
    </r>
    <r>
      <rPr>
        <vertAlign val="superscript"/>
        <sz val="11"/>
        <color theme="1"/>
        <rFont val="Calibri"/>
        <family val="2"/>
        <scheme val="minor"/>
      </rPr>
      <t>5</t>
    </r>
    <r>
      <rPr>
        <sz val="11"/>
        <color theme="1"/>
        <rFont val="Calibri"/>
        <family val="2"/>
        <scheme val="minor"/>
      </rPr>
      <t xml:space="preserve"> - 4E-27x</t>
    </r>
    <r>
      <rPr>
        <vertAlign val="superscript"/>
        <sz val="11"/>
        <color theme="1"/>
        <rFont val="Calibri"/>
        <family val="2"/>
        <scheme val="minor"/>
      </rPr>
      <t>4</t>
    </r>
    <r>
      <rPr>
        <sz val="11"/>
        <color theme="1"/>
        <rFont val="Calibri"/>
        <family val="2"/>
        <scheme val="minor"/>
      </rPr>
      <t xml:space="preserve"> + 6E-13x</t>
    </r>
    <r>
      <rPr>
        <vertAlign val="superscript"/>
        <sz val="11"/>
        <color theme="1"/>
        <rFont val="Calibri"/>
        <family val="2"/>
        <scheme val="minor"/>
      </rPr>
      <t>3</t>
    </r>
    <r>
      <rPr>
        <sz val="11"/>
        <color theme="1"/>
        <rFont val="Calibri"/>
        <family val="2"/>
        <scheme val="minor"/>
      </rPr>
      <t xml:space="preserve"> - 4E-08x</t>
    </r>
    <r>
      <rPr>
        <vertAlign val="superscript"/>
        <sz val="11"/>
        <color theme="1"/>
        <rFont val="Calibri"/>
        <family val="2"/>
        <scheme val="minor"/>
      </rPr>
      <t>2</t>
    </r>
    <r>
      <rPr>
        <sz val="11"/>
        <color theme="1"/>
        <rFont val="Calibri"/>
        <family val="2"/>
        <scheme val="minor"/>
      </rPr>
      <t xml:space="preserve"> + 0.0085x + 32.03</t>
    </r>
  </si>
  <si>
    <r>
      <t>y_50 = 4E-13x</t>
    </r>
    <r>
      <rPr>
        <vertAlign val="superscript"/>
        <sz val="11"/>
        <color theme="1"/>
        <rFont val="Calibri"/>
        <family val="2"/>
        <scheme val="minor"/>
      </rPr>
      <t>3</t>
    </r>
    <r>
      <rPr>
        <sz val="11"/>
        <color theme="1"/>
        <rFont val="Calibri"/>
        <family val="2"/>
        <scheme val="minor"/>
      </rPr>
      <t xml:space="preserve"> - 4E-08x</t>
    </r>
    <r>
      <rPr>
        <vertAlign val="superscript"/>
        <sz val="11"/>
        <color theme="1"/>
        <rFont val="Calibri"/>
        <family val="2"/>
        <scheme val="minor"/>
      </rPr>
      <t>2</t>
    </r>
    <r>
      <rPr>
        <sz val="11"/>
        <color theme="1"/>
        <rFont val="Calibri"/>
        <family val="2"/>
        <scheme val="minor"/>
      </rPr>
      <t xml:space="preserve"> + 0.0062x + 41.516</t>
    </r>
  </si>
  <si>
    <r>
      <t>y_60 = 5E-33x</t>
    </r>
    <r>
      <rPr>
        <vertAlign val="superscript"/>
        <sz val="11"/>
        <color theme="1"/>
        <rFont val="Calibri"/>
        <family val="2"/>
        <scheme val="minor"/>
      </rPr>
      <t>5</t>
    </r>
    <r>
      <rPr>
        <sz val="11"/>
        <color theme="1"/>
        <rFont val="Calibri"/>
        <family val="2"/>
        <scheme val="minor"/>
      </rPr>
      <t xml:space="preserve"> - 3E-18x4 + 9E-13x3 - 9E-08x2 + 0.0066x + 39.91</t>
    </r>
  </si>
  <si>
    <r>
      <t>y_70 =  - 4E-18x</t>
    </r>
    <r>
      <rPr>
        <vertAlign val="superscript"/>
        <sz val="11"/>
        <color theme="1"/>
        <rFont val="Calibri"/>
        <family val="2"/>
        <scheme val="minor"/>
      </rPr>
      <t>4</t>
    </r>
    <r>
      <rPr>
        <sz val="11"/>
        <color theme="1"/>
        <rFont val="Calibri"/>
        <family val="2"/>
        <scheme val="minor"/>
      </rPr>
      <t xml:space="preserve"> + 1E-12x</t>
    </r>
    <r>
      <rPr>
        <vertAlign val="superscript"/>
        <sz val="11"/>
        <color theme="1"/>
        <rFont val="Calibri"/>
        <family val="2"/>
        <scheme val="minor"/>
      </rPr>
      <t>3</t>
    </r>
    <r>
      <rPr>
        <sz val="11"/>
        <color theme="1"/>
        <rFont val="Calibri"/>
        <family val="2"/>
        <scheme val="minor"/>
      </rPr>
      <t xml:space="preserve"> - 1E-07x</t>
    </r>
    <r>
      <rPr>
        <vertAlign val="superscript"/>
        <sz val="11"/>
        <color theme="1"/>
        <rFont val="Calibri"/>
        <family val="2"/>
        <scheme val="minor"/>
      </rPr>
      <t>2</t>
    </r>
    <r>
      <rPr>
        <sz val="11"/>
        <color theme="1"/>
        <rFont val="Calibri"/>
        <family val="2"/>
        <scheme val="minor"/>
      </rPr>
      <t xml:space="preserve"> + 0.0068x + 39.285</t>
    </r>
  </si>
  <si>
    <r>
      <t>y_80 = 1E-32x</t>
    </r>
    <r>
      <rPr>
        <vertAlign val="superscript"/>
        <sz val="11"/>
        <color theme="1"/>
        <rFont val="Calibri"/>
        <family val="2"/>
        <scheme val="minor"/>
      </rPr>
      <t>5</t>
    </r>
    <r>
      <rPr>
        <sz val="11"/>
        <color theme="1"/>
        <rFont val="Calibri"/>
        <family val="2"/>
        <scheme val="minor"/>
      </rPr>
      <t xml:space="preserve"> - 9E-19x</t>
    </r>
    <r>
      <rPr>
        <vertAlign val="superscript"/>
        <sz val="11"/>
        <color theme="1"/>
        <rFont val="Calibri"/>
        <family val="2"/>
        <scheme val="minor"/>
      </rPr>
      <t>4</t>
    </r>
    <r>
      <rPr>
        <sz val="11"/>
        <color theme="1"/>
        <rFont val="Calibri"/>
        <family val="2"/>
        <scheme val="minor"/>
      </rPr>
      <t xml:space="preserve"> + 5E-13x</t>
    </r>
    <r>
      <rPr>
        <vertAlign val="superscript"/>
        <sz val="11"/>
        <color theme="1"/>
        <rFont val="Calibri"/>
        <family val="2"/>
        <scheme val="minor"/>
      </rPr>
      <t>3</t>
    </r>
    <r>
      <rPr>
        <sz val="11"/>
        <color theme="1"/>
        <rFont val="Calibri"/>
        <family val="2"/>
        <scheme val="minor"/>
      </rPr>
      <t xml:space="preserve"> - 5E-08x</t>
    </r>
    <r>
      <rPr>
        <vertAlign val="superscript"/>
        <sz val="11"/>
        <color theme="1"/>
        <rFont val="Calibri"/>
        <family val="2"/>
        <scheme val="minor"/>
      </rPr>
      <t>2</t>
    </r>
    <r>
      <rPr>
        <sz val="11"/>
        <color theme="1"/>
        <rFont val="Calibri"/>
        <family val="2"/>
        <scheme val="minor"/>
      </rPr>
      <t xml:space="preserve"> + 0.0063x + 41.161</t>
    </r>
  </si>
  <si>
    <r>
      <t>y_90 = 9E-33x</t>
    </r>
    <r>
      <rPr>
        <vertAlign val="superscript"/>
        <sz val="11"/>
        <color theme="1"/>
        <rFont val="Calibri"/>
        <family val="2"/>
        <scheme val="minor"/>
      </rPr>
      <t>5</t>
    </r>
    <r>
      <rPr>
        <sz val="11"/>
        <color theme="1"/>
        <rFont val="Calibri"/>
        <family val="2"/>
        <scheme val="minor"/>
      </rPr>
      <t xml:space="preserve"> - 2E-18x</t>
    </r>
    <r>
      <rPr>
        <vertAlign val="superscript"/>
        <sz val="11"/>
        <color theme="1"/>
        <rFont val="Calibri"/>
        <family val="2"/>
        <scheme val="minor"/>
      </rPr>
      <t>4</t>
    </r>
    <r>
      <rPr>
        <sz val="11"/>
        <color theme="1"/>
        <rFont val="Calibri"/>
        <family val="2"/>
        <scheme val="minor"/>
      </rPr>
      <t xml:space="preserve"> + 7E-13x</t>
    </r>
    <r>
      <rPr>
        <vertAlign val="superscript"/>
        <sz val="11"/>
        <color theme="1"/>
        <rFont val="Calibri"/>
        <family val="2"/>
        <scheme val="minor"/>
      </rPr>
      <t>3</t>
    </r>
    <r>
      <rPr>
        <sz val="11"/>
        <color theme="1"/>
        <rFont val="Calibri"/>
        <family val="2"/>
        <scheme val="minor"/>
      </rPr>
      <t xml:space="preserve"> - 7E-08x</t>
    </r>
    <r>
      <rPr>
        <vertAlign val="superscript"/>
        <sz val="11"/>
        <color theme="1"/>
        <rFont val="Calibri"/>
        <family val="2"/>
        <scheme val="minor"/>
      </rPr>
      <t>2</t>
    </r>
    <r>
      <rPr>
        <sz val="11"/>
        <color theme="1"/>
        <rFont val="Calibri"/>
        <family val="2"/>
        <scheme val="minor"/>
      </rPr>
      <t xml:space="preserve"> + 0.0065x + 40.536</t>
    </r>
  </si>
  <si>
    <r>
      <t>y_100 = 2E-22x</t>
    </r>
    <r>
      <rPr>
        <vertAlign val="superscript"/>
        <sz val="11"/>
        <color theme="1"/>
        <rFont val="Calibri"/>
        <family val="2"/>
        <scheme val="minor"/>
      </rPr>
      <t>5</t>
    </r>
    <r>
      <rPr>
        <sz val="11"/>
        <color theme="1"/>
        <rFont val="Calibri"/>
        <family val="2"/>
        <scheme val="minor"/>
      </rPr>
      <t xml:space="preserve"> - 6E-17x</t>
    </r>
    <r>
      <rPr>
        <vertAlign val="superscript"/>
        <sz val="11"/>
        <color theme="1"/>
        <rFont val="Calibri"/>
        <family val="2"/>
        <scheme val="minor"/>
      </rPr>
      <t>4</t>
    </r>
    <r>
      <rPr>
        <sz val="11"/>
        <color theme="1"/>
        <rFont val="Calibri"/>
        <family val="2"/>
        <scheme val="minor"/>
      </rPr>
      <t xml:space="preserve"> + 6E-12x</t>
    </r>
    <r>
      <rPr>
        <vertAlign val="superscript"/>
        <sz val="11"/>
        <color theme="1"/>
        <rFont val="Calibri"/>
        <family val="2"/>
        <scheme val="minor"/>
      </rPr>
      <t>3</t>
    </r>
    <r>
      <rPr>
        <sz val="11"/>
        <color theme="1"/>
        <rFont val="Calibri"/>
        <family val="2"/>
        <scheme val="minor"/>
      </rPr>
      <t xml:space="preserve"> - 3E-07x</t>
    </r>
    <r>
      <rPr>
        <vertAlign val="superscript"/>
        <sz val="11"/>
        <color theme="1"/>
        <rFont val="Calibri"/>
        <family val="2"/>
        <scheme val="minor"/>
      </rPr>
      <t>2</t>
    </r>
    <r>
      <rPr>
        <sz val="11"/>
        <color theme="1"/>
        <rFont val="Calibri"/>
        <family val="2"/>
        <scheme val="minor"/>
      </rPr>
      <t xml:space="preserve"> + 0.009x + 31.99</t>
    </r>
  </si>
  <si>
    <t>Spacing B/W Dents, (s)</t>
  </si>
  <si>
    <t>Spacing between edge of dent to edge of fastener, s1</t>
  </si>
  <si>
    <t>Edge margin (em), in</t>
  </si>
  <si>
    <t>Spacing between edge of dent to edge of fastener, s1, in</t>
  </si>
  <si>
    <r>
      <t>e</t>
    </r>
    <r>
      <rPr>
        <vertAlign val="subscript"/>
        <sz val="11"/>
        <color theme="1"/>
        <rFont val="Calibri"/>
        <family val="2"/>
        <scheme val="minor"/>
      </rPr>
      <t>m</t>
    </r>
    <r>
      <rPr>
        <sz val="11"/>
        <color theme="1"/>
        <rFont val="Calibri"/>
        <family val="2"/>
        <scheme val="minor"/>
      </rPr>
      <t>/D</t>
    </r>
  </si>
  <si>
    <r>
      <t>e</t>
    </r>
    <r>
      <rPr>
        <vertAlign val="subscript"/>
        <sz val="11"/>
        <color theme="1"/>
        <rFont val="Calibri"/>
        <family val="2"/>
        <scheme val="minor"/>
      </rPr>
      <t>m</t>
    </r>
    <r>
      <rPr>
        <sz val="11"/>
        <color theme="1"/>
        <rFont val="Calibri"/>
        <family val="2"/>
        <scheme val="minor"/>
      </rPr>
      <t>/D Ratio</t>
    </r>
  </si>
  <si>
    <t>Ks_local</t>
  </si>
  <si>
    <t>Kc_</t>
  </si>
  <si>
    <t>K = 0.8Kc_ + 0.2Ks_local</t>
  </si>
  <si>
    <r>
      <t>Allowable considered, F</t>
    </r>
    <r>
      <rPr>
        <vertAlign val="subscript"/>
        <sz val="11"/>
        <color theme="1"/>
        <rFont val="Calibri"/>
        <family val="2"/>
        <scheme val="minor"/>
      </rPr>
      <t>allow_local</t>
    </r>
  </si>
  <si>
    <r>
      <t>Margin of Safety, MS</t>
    </r>
    <r>
      <rPr>
        <vertAlign val="subscript"/>
        <sz val="11"/>
        <color theme="1"/>
        <rFont val="Calibri"/>
        <family val="2"/>
        <scheme val="minor"/>
      </rPr>
      <t>buck_local</t>
    </r>
  </si>
  <si>
    <r>
      <t>σ</t>
    </r>
    <r>
      <rPr>
        <vertAlign val="subscript"/>
        <sz val="11"/>
        <color theme="1"/>
        <rFont val="Calibri"/>
        <family val="2"/>
        <scheme val="minor"/>
      </rPr>
      <t xml:space="preserve">buck,limit </t>
    </r>
    <r>
      <rPr>
        <sz val="11"/>
        <color theme="1"/>
        <rFont val="Calibri"/>
        <family val="2"/>
        <scheme val="minor"/>
      </rPr>
      <t>= σ</t>
    </r>
    <r>
      <rPr>
        <vertAlign val="subscript"/>
        <sz val="11"/>
        <color theme="1"/>
        <rFont val="Calibri"/>
        <family val="2"/>
        <scheme val="minor"/>
      </rPr>
      <t>buck</t>
    </r>
    <r>
      <rPr>
        <sz val="11"/>
        <color theme="1"/>
        <rFont val="Calibri"/>
        <family val="2"/>
        <scheme val="minor"/>
      </rPr>
      <t xml:space="preserve"> / 1.5</t>
    </r>
  </si>
  <si>
    <r>
      <t>Limit Buckling Stress, (σ</t>
    </r>
    <r>
      <rPr>
        <vertAlign val="subscript"/>
        <sz val="11"/>
        <color theme="1"/>
        <rFont val="Calibri"/>
        <family val="2"/>
        <scheme val="minor"/>
      </rPr>
      <t>buck,Limit</t>
    </r>
    <r>
      <rPr>
        <sz val="11"/>
        <color theme="1"/>
        <rFont val="Calibri"/>
        <family val="2"/>
        <scheme val="minor"/>
      </rPr>
      <t>)</t>
    </r>
  </si>
  <si>
    <t>1. Tool updated as per published ESOM LB10-8
2. Excluded global buckling analysis for legacy programs.</t>
  </si>
  <si>
    <t>Ultimate Compressive Allowable, Ftu/Fty * Fcy</t>
  </si>
  <si>
    <t>Fcu</t>
  </si>
  <si>
    <t>Temperature Reduction Factor of Fcu</t>
  </si>
  <si>
    <t>TRF, Fcu</t>
  </si>
  <si>
    <t>Circumferential Dent Length</t>
  </si>
  <si>
    <t>Ftu or Fcu @ RT</t>
  </si>
  <si>
    <t>(Ftu or Fcu) x TRF</t>
  </si>
  <si>
    <r>
      <t>Principal Stress, (σ</t>
    </r>
    <r>
      <rPr>
        <vertAlign val="subscript"/>
        <sz val="11"/>
        <color theme="1"/>
        <rFont val="Calibri"/>
        <family val="2"/>
        <scheme val="minor"/>
      </rPr>
      <t>MAX</t>
    </r>
    <r>
      <rPr>
        <sz val="11"/>
        <color theme="1"/>
        <rFont val="Calibri"/>
        <family val="2"/>
        <scheme val="minor"/>
      </rPr>
      <t>)</t>
    </r>
  </si>
  <si>
    <t>Temperature Reduction Factor of (Fcu or Ftu)</t>
  </si>
  <si>
    <r>
      <t>Principal Stresses (</t>
    </r>
    <r>
      <rPr>
        <sz val="11"/>
        <color theme="1"/>
        <rFont val="Calibri"/>
        <family val="2"/>
      </rPr>
      <t>σ</t>
    </r>
    <r>
      <rPr>
        <vertAlign val="subscript"/>
        <sz val="7.7"/>
        <color theme="1"/>
        <rFont val="Calibri"/>
        <family val="2"/>
      </rPr>
      <t xml:space="preserve">MAX.PR </t>
    </r>
    <r>
      <rPr>
        <sz val="7.7"/>
        <color theme="1"/>
        <rFont val="Calibri"/>
        <family val="2"/>
      </rPr>
      <t xml:space="preserve">or </t>
    </r>
    <r>
      <rPr>
        <sz val="11"/>
        <color theme="1"/>
        <rFont val="Calibri"/>
        <family val="2"/>
      </rPr>
      <t>σ</t>
    </r>
    <r>
      <rPr>
        <vertAlign val="subscript"/>
        <sz val="7.7"/>
        <color theme="1"/>
        <rFont val="Calibri"/>
        <family val="2"/>
      </rPr>
      <t>MIN.PR</t>
    </r>
    <r>
      <rPr>
        <sz val="7.7"/>
        <color theme="1"/>
        <rFont val="Calibri"/>
        <family val="2"/>
      </rPr>
      <t>)</t>
    </r>
    <r>
      <rPr>
        <sz val="11"/>
        <color theme="1"/>
        <rFont val="Calibri"/>
        <family val="2"/>
        <scheme val="minor"/>
      </rPr>
      <t>, psi</t>
    </r>
  </si>
  <si>
    <t>Distance between edge of dent and edge of fastener hole, em</t>
  </si>
  <si>
    <t>Edge Distance</t>
  </si>
  <si>
    <t>em</t>
  </si>
  <si>
    <r>
      <t>e</t>
    </r>
    <r>
      <rPr>
        <vertAlign val="subscript"/>
        <sz val="11"/>
        <color theme="1"/>
        <rFont val="Calibri"/>
        <family val="2"/>
        <scheme val="minor"/>
      </rPr>
      <t>m</t>
    </r>
    <r>
      <rPr>
        <sz val="11"/>
        <color theme="1"/>
        <rFont val="Calibri"/>
        <family val="2"/>
        <scheme val="minor"/>
      </rPr>
      <t>/ D</t>
    </r>
  </si>
  <si>
    <t>Edge Distance to Diameter Ratio</t>
  </si>
  <si>
    <t>Dent radius</t>
  </si>
  <si>
    <t>Optimized dent depth</t>
  </si>
  <si>
    <t>Dent depth</t>
  </si>
  <si>
    <t>d</t>
  </si>
  <si>
    <t>D</t>
  </si>
  <si>
    <t>The dent is good for 10 days if dent doesn’t have cracks.</t>
  </si>
  <si>
    <t>Multiple Dents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</si>
</sst>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
    <numFmt numFmtId="165" formatCode="0.0"/>
    <numFmt numFmtId="166" formatCode="0.0000"/>
  </numFmts>
  <fonts count="24" x14ac:knownFonts="1">
    <font>
      <sz val="11"/>
      <color theme="1"/>
      <name val="Calibri"/>
      <family val="2"/>
      <scheme val="minor"/>
    </font>
    <font>
      <b/>
      <sz val="11"/>
      <color theme="0"/>
      <name val="Calibri"/>
      <family val="2"/>
      <scheme val="minor"/>
    </font>
    <font>
      <b/>
      <sz val="11"/>
      <color theme="0"/>
      <name val="Calibri"/>
      <family val="2"/>
      <scheme val="minor"/>
    </font>
    <font>
      <b/>
      <sz val="12"/>
      <color theme="0"/>
      <name val="Arial"/>
      <family val="2"/>
    </font>
    <font>
      <sz val="9"/>
      <color indexed="81"/>
      <name val="Tahoma"/>
      <family val="2"/>
    </font>
    <font>
      <b/>
      <sz val="9"/>
      <color indexed="81"/>
      <name val="Tahoma"/>
      <family val="2"/>
    </font>
    <font>
      <b/>
      <sz val="11"/>
      <color theme="1"/>
      <name val="Calibri"/>
      <family val="2"/>
      <scheme val="minor"/>
    </font>
    <font>
      <b/>
      <sz val="11"/>
      <color theme="0"/>
      <name val="Calibri"/>
      <family val="2"/>
      <scheme val="minor"/>
    </font>
    <font>
      <b/>
      <sz val="11"/>
      <color theme="0"/>
      <name val="Calibri"/>
      <family val="2"/>
      <scheme val="minor"/>
    </font>
    <font>
      <b/>
      <sz val="14"/>
      <color theme="0"/>
      <name val="Arial"/>
      <family val="2"/>
    </font>
    <font>
      <sz val="11"/>
      <color theme="1"/>
      <name val="Arial"/>
      <family val="2"/>
    </font>
    <font>
      <sz val="11"/>
      <color theme="1"/>
      <name val="Calibri"/>
      <family val="2"/>
    </font>
    <font>
      <vertAlign val="subscript"/>
      <sz val="9.35"/>
      <color theme="1"/>
      <name val="Calibri"/>
      <family val="2"/>
    </font>
    <font>
      <vertAlign val="subscript"/>
      <sz val="11"/>
      <color theme="1"/>
      <name val="Calibri"/>
      <family val="2"/>
      <scheme val="minor"/>
    </font>
    <font>
      <sz val="10"/>
      <name val="Arial"/>
      <family val="2"/>
    </font>
    <font>
      <sz val="10"/>
      <color theme="1"/>
      <name val="Calibri"/>
      <family val="2"/>
      <scheme val="minor"/>
    </font>
    <font>
      <sz val="7.7"/>
      <color theme="1"/>
      <name val="Calibri"/>
      <family val="2"/>
    </font>
    <font>
      <vertAlign val="subscript"/>
      <sz val="7.7"/>
      <color theme="1"/>
      <name val="Calibri"/>
      <family val="2"/>
    </font>
    <font>
      <b/>
      <sz val="14"/>
      <color rgb="FF0000FF"/>
      <name val="Arial"/>
      <family val="2"/>
    </font>
    <font>
      <vertAlign val="superscript"/>
      <sz val="11"/>
      <color theme="1"/>
      <name val="Calibri"/>
      <family val="2"/>
      <scheme val="minor"/>
    </font>
    <font>
      <sz val="8"/>
      <name val="Calibri"/>
      <family val="2"/>
      <scheme val="minor"/>
    </font>
    <font>
      <sz val="11"/>
      <name val="Calibri"/>
      <family val="2"/>
      <scheme val="minor"/>
    </font>
    <font>
      <b/>
      <vertAlign val="subscript"/>
      <sz val="11"/>
      <color theme="1"/>
      <name val="Calibri"/>
      <family val="2"/>
      <scheme val="minor"/>
    </font>
    <font>
      <sz val="11"/>
      <color theme="0"/>
      <name val="Calibri"/>
      <family val="2"/>
      <scheme val="minor"/>
    </font>
  </fonts>
  <fills count="7">
    <fill>
      <patternFill patternType="none"/>
    </fill>
    <fill>
      <patternFill patternType="gray125"/>
    </fill>
    <fill>
      <patternFill patternType="solid">
        <fgColor rgb="FF0070C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FF5050"/>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182">
    <xf numFmtId="0" fontId="0" fillId="0" borderId="0" xfId="0"/>
    <xf numFmtId="0" fontId="0" fillId="0" borderId="0" xfId="0" applyAlignment="1">
      <alignment horizontal="center" vertical="center"/>
    </xf>
    <xf numFmtId="0" fontId="0" fillId="0" borderId="1" xfId="0" applyBorder="1"/>
    <xf numFmtId="0" fontId="0" fillId="0" borderId="1" xfId="0" applyFill="1" applyBorder="1" applyAlignment="1">
      <alignment horizontal="center" vertical="center"/>
    </xf>
    <xf numFmtId="0" fontId="0" fillId="0" borderId="1" xfId="0" applyFill="1" applyBorder="1"/>
    <xf numFmtId="0" fontId="0" fillId="0" borderId="0" xfId="0" applyBorder="1"/>
    <xf numFmtId="0" fontId="0" fillId="0" borderId="0" xfId="0" applyFill="1"/>
    <xf numFmtId="0" fontId="3" fillId="0" borderId="0" xfId="0" applyFont="1" applyFill="1" applyBorder="1" applyAlignment="1">
      <alignment horizontal="center" vertical="center" wrapText="1"/>
    </xf>
    <xf numFmtId="0" fontId="0" fillId="0" borderId="0" xfId="0" applyFill="1" applyBorder="1"/>
    <xf numFmtId="0" fontId="0" fillId="0" borderId="0" xfId="0" applyAlignment="1">
      <alignment horizontal="left" vertical="center"/>
    </xf>
    <xf numFmtId="2" fontId="0" fillId="0" borderId="1" xfId="0" applyNumberFormat="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pplyAlignment="1">
      <alignment horizontal="center" vertical="center" wrapText="1"/>
    </xf>
    <xf numFmtId="0" fontId="0" fillId="0" borderId="1" xfId="0" applyBorder="1" applyAlignment="1">
      <alignment horizontal="center" vertical="center"/>
    </xf>
    <xf numFmtId="0" fontId="0" fillId="0" borderId="1" xfId="0" applyFill="1" applyBorder="1" applyAlignment="1">
      <alignment horizontal="left" vertical="center" wrapText="1"/>
    </xf>
    <xf numFmtId="0" fontId="0" fillId="0" borderId="0" xfId="0" applyFill="1" applyBorder="1" applyAlignment="1">
      <alignment horizontal="left" vertical="center"/>
    </xf>
    <xf numFmtId="0" fontId="6" fillId="0" borderId="1" xfId="0" applyFont="1" applyBorder="1" applyAlignment="1">
      <alignment horizontal="center" vertical="center"/>
    </xf>
    <xf numFmtId="0" fontId="0" fillId="0" borderId="1" xfId="0" applyBorder="1" applyAlignment="1">
      <alignment horizontal="center" vertical="center"/>
    </xf>
    <xf numFmtId="0" fontId="6" fillId="0" borderId="1" xfId="0" applyFont="1" applyBorder="1" applyAlignment="1">
      <alignment horizontal="center" vertical="center" wrapText="1"/>
    </xf>
    <xf numFmtId="0" fontId="6" fillId="0" borderId="1" xfId="0" applyFont="1" applyBorder="1" applyAlignment="1">
      <alignment horizontal="center"/>
    </xf>
    <xf numFmtId="164" fontId="0" fillId="0" borderId="0" xfId="0" applyNumberFormat="1"/>
    <xf numFmtId="0" fontId="9" fillId="2" borderId="1" xfId="0" applyFont="1" applyFill="1" applyBorder="1" applyAlignment="1">
      <alignment horizontal="center" vertical="center"/>
    </xf>
    <xf numFmtId="0" fontId="10" fillId="0" borderId="1" xfId="0" applyFont="1" applyBorder="1" applyAlignment="1">
      <alignment horizontal="center" vertical="center"/>
    </xf>
    <xf numFmtId="165" fontId="10" fillId="0" borderId="1" xfId="0" applyNumberFormat="1" applyFont="1" applyBorder="1" applyAlignment="1">
      <alignment horizontal="center" vertical="center"/>
    </xf>
    <xf numFmtId="0" fontId="10" fillId="0" borderId="1" xfId="0" applyFont="1" applyBorder="1" applyAlignment="1">
      <alignment horizontal="left" vertical="center"/>
    </xf>
    <xf numFmtId="14" fontId="10" fillId="0" borderId="1" xfId="0" applyNumberFormat="1" applyFont="1" applyBorder="1" applyAlignment="1">
      <alignment horizontal="center" vertical="center"/>
    </xf>
    <xf numFmtId="0" fontId="10" fillId="0" borderId="1" xfId="0" applyFont="1" applyBorder="1" applyAlignment="1">
      <alignment horizontal="left" vertical="center" wrapText="1"/>
    </xf>
    <xf numFmtId="0" fontId="3" fillId="2" borderId="1" xfId="0" applyFont="1" applyFill="1" applyBorder="1" applyAlignment="1">
      <alignment horizontal="center" vertical="center" wrapText="1"/>
    </xf>
    <xf numFmtId="0" fontId="0" fillId="0" borderId="1" xfId="0" applyBorder="1" applyAlignment="1">
      <alignment horizontal="center" vertical="center"/>
    </xf>
    <xf numFmtId="0" fontId="0" fillId="3" borderId="1" xfId="0" applyFill="1" applyBorder="1" applyProtection="1">
      <protection locked="0"/>
    </xf>
    <xf numFmtId="0" fontId="0" fillId="3" borderId="1" xfId="0" applyFill="1" applyBorder="1" applyAlignment="1" applyProtection="1">
      <alignment horizontal="center" vertical="center"/>
      <protection locked="0"/>
    </xf>
    <xf numFmtId="0" fontId="0" fillId="0" borderId="0" xfId="0" applyProtection="1">
      <protection locked="0"/>
    </xf>
    <xf numFmtId="0" fontId="1" fillId="2" borderId="5" xfId="0" applyFont="1" applyFill="1" applyBorder="1" applyAlignment="1" applyProtection="1">
      <alignment horizontal="center" vertical="center"/>
    </xf>
    <xf numFmtId="0" fontId="1" fillId="2" borderId="11" xfId="0" applyFont="1" applyFill="1" applyBorder="1" applyAlignment="1" applyProtection="1">
      <alignment horizontal="center" vertical="center"/>
    </xf>
    <xf numFmtId="0" fontId="1" fillId="2" borderId="11" xfId="0" applyFont="1" applyFill="1" applyBorder="1" applyAlignment="1" applyProtection="1">
      <alignment horizontal="center" vertical="center" wrapText="1"/>
    </xf>
    <xf numFmtId="0" fontId="7" fillId="2" borderId="6" xfId="0" applyFont="1" applyFill="1" applyBorder="1" applyAlignment="1" applyProtection="1">
      <alignment horizontal="center" vertical="center" wrapText="1"/>
    </xf>
    <xf numFmtId="0" fontId="8" fillId="2" borderId="11" xfId="0" applyFont="1" applyFill="1" applyBorder="1" applyAlignment="1" applyProtection="1">
      <alignment horizontal="center" vertical="center" wrapText="1"/>
    </xf>
    <xf numFmtId="0" fontId="1" fillId="2" borderId="6" xfId="0" applyFont="1" applyFill="1" applyBorder="1" applyAlignment="1" applyProtection="1">
      <alignment horizontal="center" vertical="center"/>
    </xf>
    <xf numFmtId="0" fontId="0" fillId="0" borderId="7" xfId="0" applyBorder="1" applyAlignment="1" applyProtection="1">
      <alignment horizontal="center" vertical="center"/>
    </xf>
    <xf numFmtId="0" fontId="0" fillId="0" borderId="1" xfId="0" applyBorder="1" applyAlignment="1" applyProtection="1">
      <alignment horizontal="center" vertical="center"/>
    </xf>
    <xf numFmtId="0" fontId="0" fillId="0" borderId="1" xfId="0" applyFill="1" applyBorder="1" applyAlignment="1" applyProtection="1">
      <alignment horizontal="left" vertical="center"/>
    </xf>
    <xf numFmtId="0" fontId="0" fillId="0" borderId="1" xfId="0" applyFill="1" applyBorder="1" applyAlignment="1" applyProtection="1">
      <alignment horizontal="center" vertical="center"/>
    </xf>
    <xf numFmtId="1" fontId="0" fillId="0" borderId="1" xfId="0" applyNumberFormat="1" applyFill="1" applyBorder="1" applyAlignment="1" applyProtection="1">
      <alignment horizontal="center" vertical="center"/>
    </xf>
    <xf numFmtId="0" fontId="0" fillId="0" borderId="8" xfId="0" applyBorder="1" applyAlignment="1" applyProtection="1">
      <alignment horizontal="center" vertical="center"/>
    </xf>
    <xf numFmtId="0" fontId="0" fillId="0" borderId="11" xfId="0" applyBorder="1" applyAlignment="1" applyProtection="1">
      <alignment horizontal="center" vertical="center"/>
    </xf>
    <xf numFmtId="164" fontId="0" fillId="0" borderId="6" xfId="0" applyNumberFormat="1" applyBorder="1" applyAlignment="1" applyProtection="1">
      <alignment horizontal="center" vertical="center"/>
    </xf>
    <xf numFmtId="2" fontId="0" fillId="0" borderId="1" xfId="0" applyNumberFormat="1" applyFill="1" applyBorder="1" applyAlignment="1" applyProtection="1">
      <alignment horizontal="center" vertical="center"/>
    </xf>
    <xf numFmtId="164" fontId="0" fillId="0" borderId="8" xfId="0" applyNumberFormat="1" applyBorder="1" applyAlignment="1" applyProtection="1">
      <alignment horizontal="center" vertical="center"/>
    </xf>
    <xf numFmtId="0" fontId="0" fillId="0" borderId="1" xfId="0" applyBorder="1" applyProtection="1"/>
    <xf numFmtId="2" fontId="0" fillId="0" borderId="1" xfId="0" applyNumberFormat="1" applyBorder="1" applyAlignment="1" applyProtection="1">
      <alignment horizontal="center" vertical="center"/>
    </xf>
    <xf numFmtId="1" fontId="0" fillId="0" borderId="1" xfId="0" applyNumberFormat="1" applyBorder="1" applyAlignment="1" applyProtection="1">
      <alignment horizontal="center"/>
    </xf>
    <xf numFmtId="1" fontId="0" fillId="0" borderId="1" xfId="0" applyNumberFormat="1" applyBorder="1" applyAlignment="1" applyProtection="1">
      <alignment horizontal="center" vertical="center"/>
    </xf>
    <xf numFmtId="0" fontId="0" fillId="0" borderId="9" xfId="0" applyBorder="1" applyAlignment="1" applyProtection="1">
      <alignment horizontal="center" vertical="center"/>
    </xf>
    <xf numFmtId="0" fontId="0" fillId="0" borderId="12" xfId="0" applyBorder="1" applyAlignment="1" applyProtection="1">
      <alignment horizontal="center" vertical="center"/>
    </xf>
    <xf numFmtId="0" fontId="0" fillId="0" borderId="10" xfId="0" applyBorder="1" applyAlignment="1" applyProtection="1">
      <alignment horizontal="center" vertical="center"/>
    </xf>
    <xf numFmtId="0" fontId="0" fillId="0" borderId="13" xfId="0" applyBorder="1" applyAlignment="1" applyProtection="1">
      <alignment horizontal="center" vertical="center"/>
    </xf>
    <xf numFmtId="1" fontId="0" fillId="0" borderId="12" xfId="0" applyNumberFormat="1" applyBorder="1" applyAlignment="1" applyProtection="1">
      <alignment horizontal="center" vertical="center"/>
    </xf>
    <xf numFmtId="164" fontId="0" fillId="0" borderId="10" xfId="0" applyNumberFormat="1" applyBorder="1" applyAlignment="1" applyProtection="1">
      <alignment horizontal="center" vertical="center"/>
    </xf>
    <xf numFmtId="0" fontId="1" fillId="2" borderId="3" xfId="0" applyFont="1" applyFill="1" applyBorder="1" applyAlignment="1" applyProtection="1">
      <alignment horizontal="center" vertical="center"/>
    </xf>
    <xf numFmtId="0" fontId="2" fillId="2" borderId="3" xfId="0" applyFont="1" applyFill="1" applyBorder="1" applyAlignment="1" applyProtection="1">
      <alignment horizontal="center" vertical="center"/>
    </xf>
    <xf numFmtId="0" fontId="0" fillId="0" borderId="2" xfId="0" applyBorder="1" applyAlignment="1" applyProtection="1">
      <alignment horizontal="center" vertical="center"/>
    </xf>
    <xf numFmtId="0" fontId="0" fillId="0" borderId="7" xfId="0" applyBorder="1" applyProtection="1"/>
    <xf numFmtId="0" fontId="0" fillId="0" borderId="8" xfId="0" applyBorder="1" applyProtection="1"/>
    <xf numFmtId="0" fontId="0" fillId="0" borderId="2" xfId="0" applyBorder="1" applyProtection="1"/>
    <xf numFmtId="0" fontId="0" fillId="0" borderId="4" xfId="0" applyBorder="1" applyAlignment="1" applyProtection="1">
      <alignment horizontal="center" vertical="center"/>
    </xf>
    <xf numFmtId="0" fontId="0" fillId="0" borderId="4" xfId="0" applyBorder="1" applyProtection="1"/>
    <xf numFmtId="0" fontId="0" fillId="0" borderId="0" xfId="0" applyProtection="1"/>
    <xf numFmtId="0" fontId="0" fillId="0" borderId="9" xfId="0" applyBorder="1" applyProtection="1"/>
    <xf numFmtId="0" fontId="0" fillId="0" borderId="10" xfId="0" applyBorder="1" applyProtection="1"/>
    <xf numFmtId="0" fontId="0" fillId="0" borderId="1" xfId="0" applyFill="1" applyBorder="1" applyProtection="1">
      <protection locked="0"/>
    </xf>
    <xf numFmtId="164" fontId="0" fillId="0" borderId="1" xfId="0" applyNumberFormat="1" applyBorder="1" applyAlignment="1">
      <alignment horizontal="center" vertical="center"/>
    </xf>
    <xf numFmtId="165" fontId="0" fillId="0" borderId="1" xfId="0" applyNumberFormat="1" applyBorder="1" applyAlignment="1">
      <alignment horizontal="center" vertical="center"/>
    </xf>
    <xf numFmtId="0" fontId="0" fillId="0" borderId="1" xfId="0" applyBorder="1" applyAlignment="1">
      <alignment vertical="center"/>
    </xf>
    <xf numFmtId="0" fontId="0" fillId="0" borderId="1" xfId="0" applyFill="1" applyBorder="1" applyAlignment="1">
      <alignment vertical="center"/>
    </xf>
    <xf numFmtId="0" fontId="0" fillId="0" borderId="1" xfId="0" applyBorder="1" applyAlignment="1">
      <alignment horizontal="center" vertical="center" wrapText="1"/>
    </xf>
    <xf numFmtId="0" fontId="0" fillId="0" borderId="1" xfId="0" applyBorder="1" applyAlignment="1">
      <alignment vertical="center" wrapText="1"/>
    </xf>
    <xf numFmtId="0" fontId="0" fillId="0" borderId="1" xfId="0" applyBorder="1" applyAlignment="1">
      <alignment horizontal="left" vertical="center" wrapText="1"/>
    </xf>
    <xf numFmtId="0" fontId="0" fillId="0" borderId="1" xfId="0" applyFill="1" applyBorder="1" applyAlignment="1">
      <alignment horizontal="left" vertical="center" wrapText="1"/>
    </xf>
    <xf numFmtId="0" fontId="10" fillId="0" borderId="1" xfId="0" applyFont="1" applyFill="1" applyBorder="1" applyAlignment="1">
      <alignment horizontal="center" vertical="center"/>
    </xf>
    <xf numFmtId="0" fontId="14" fillId="0" borderId="1" xfId="0" applyNumberFormat="1" applyFont="1" applyFill="1" applyBorder="1" applyAlignment="1">
      <alignment horizontal="center" vertical="center" wrapText="1"/>
    </xf>
    <xf numFmtId="0" fontId="0" fillId="0" borderId="0" xfId="0" applyAlignment="1">
      <alignment vertical="center"/>
    </xf>
    <xf numFmtId="0" fontId="10" fillId="0" borderId="1" xfId="0" applyFont="1" applyFill="1" applyBorder="1" applyAlignment="1">
      <alignment horizontal="left" vertical="center" wrapText="1"/>
    </xf>
    <xf numFmtId="0" fontId="0" fillId="0" borderId="1" xfId="0" applyBorder="1" applyAlignment="1">
      <alignment horizontal="center" vertical="center"/>
    </xf>
    <xf numFmtId="0" fontId="0" fillId="0" borderId="12" xfId="0" applyBorder="1"/>
    <xf numFmtId="0" fontId="15" fillId="0" borderId="1" xfId="0" applyFont="1" applyBorder="1" applyAlignment="1">
      <alignment horizontal="center" vertical="center"/>
    </xf>
    <xf numFmtId="0" fontId="0" fillId="0" borderId="8" xfId="0" applyBorder="1" applyAlignment="1">
      <alignment vertical="center"/>
    </xf>
    <xf numFmtId="0" fontId="0" fillId="0" borderId="7" xfId="0" applyBorder="1" applyAlignment="1">
      <alignment vertical="center"/>
    </xf>
    <xf numFmtId="0" fontId="14" fillId="0" borderId="7" xfId="0" applyNumberFormat="1" applyFont="1" applyFill="1" applyBorder="1" applyAlignment="1">
      <alignment horizontal="center" vertical="center" wrapText="1"/>
    </xf>
    <xf numFmtId="0" fontId="0" fillId="0" borderId="11" xfId="0" applyBorder="1" applyAlignment="1">
      <alignment horizontal="left" vertical="center" wrapText="1"/>
    </xf>
    <xf numFmtId="0" fontId="0" fillId="0" borderId="11" xfId="0" applyBorder="1"/>
    <xf numFmtId="0" fontId="0" fillId="0" borderId="1" xfId="0" applyBorder="1" applyAlignment="1">
      <alignment wrapText="1"/>
    </xf>
    <xf numFmtId="0" fontId="0" fillId="0" borderId="12" xfId="0" applyFill="1" applyBorder="1" applyAlignment="1">
      <alignment vertical="center"/>
    </xf>
    <xf numFmtId="0" fontId="0" fillId="0" borderId="8" xfId="0" applyBorder="1" applyAlignment="1">
      <alignment vertical="center" wrapText="1"/>
    </xf>
    <xf numFmtId="0" fontId="0" fillId="0" borderId="2" xfId="0" applyBorder="1" applyAlignment="1">
      <alignment vertical="center" wrapText="1"/>
    </xf>
    <xf numFmtId="0" fontId="14" fillId="0" borderId="2" xfId="0" applyNumberFormat="1" applyFont="1" applyFill="1" applyBorder="1" applyAlignment="1">
      <alignment vertical="center" wrapText="1"/>
    </xf>
    <xf numFmtId="0" fontId="0" fillId="0" borderId="2" xfId="0" applyBorder="1" applyAlignment="1">
      <alignment vertical="center"/>
    </xf>
    <xf numFmtId="0" fontId="0" fillId="0" borderId="1" xfId="0" applyFill="1" applyBorder="1" applyAlignment="1">
      <alignment wrapText="1"/>
    </xf>
    <xf numFmtId="0" fontId="0" fillId="0" borderId="1" xfId="0" applyFill="1" applyBorder="1" applyAlignment="1" applyProtection="1">
      <alignment horizontal="left" vertical="center" wrapText="1"/>
    </xf>
    <xf numFmtId="0" fontId="0" fillId="0" borderId="1" xfId="0" applyBorder="1" applyAlignment="1" applyProtection="1">
      <alignment horizontal="center" vertical="center" wrapText="1"/>
    </xf>
    <xf numFmtId="0" fontId="0" fillId="0" borderId="12" xfId="0" applyBorder="1" applyAlignment="1" applyProtection="1">
      <alignment horizontal="center" vertical="center" wrapText="1"/>
    </xf>
    <xf numFmtId="0" fontId="0" fillId="0" borderId="8" xfId="0" applyBorder="1" applyAlignment="1">
      <alignment horizontal="center" vertical="center"/>
    </xf>
    <xf numFmtId="0" fontId="0" fillId="0" borderId="8" xfId="0" applyBorder="1" applyAlignment="1">
      <alignment horizontal="center"/>
    </xf>
    <xf numFmtId="0" fontId="11" fillId="0" borderId="8" xfId="0" applyFont="1" applyBorder="1" applyAlignment="1">
      <alignment horizontal="center" vertical="center"/>
    </xf>
    <xf numFmtId="0" fontId="0" fillId="0" borderId="8" xfId="0" applyFill="1" applyBorder="1" applyAlignment="1">
      <alignment horizontal="center" vertical="center"/>
    </xf>
    <xf numFmtId="0" fontId="0" fillId="0" borderId="10" xfId="0" applyBorder="1" applyAlignment="1">
      <alignment horizontal="center"/>
    </xf>
    <xf numFmtId="0" fontId="0" fillId="0" borderId="10" xfId="0" applyFill="1" applyBorder="1" applyAlignment="1">
      <alignment horizontal="center" vertical="center"/>
    </xf>
    <xf numFmtId="0" fontId="0" fillId="0" borderId="8" xfId="0" applyBorder="1" applyAlignment="1">
      <alignment horizontal="center" vertical="center" wrapText="1"/>
    </xf>
    <xf numFmtId="0" fontId="0" fillId="0" borderId="8" xfId="0" applyBorder="1" applyAlignment="1"/>
    <xf numFmtId="2" fontId="14" fillId="0" borderId="1" xfId="0" applyNumberFormat="1" applyFont="1" applyFill="1" applyBorder="1" applyAlignment="1">
      <alignment horizontal="center" vertical="center" wrapText="1"/>
    </xf>
    <xf numFmtId="0" fontId="0" fillId="0" borderId="8" xfId="0" applyBorder="1" applyAlignment="1">
      <alignment horizontal="left" vertical="center"/>
    </xf>
    <xf numFmtId="0" fontId="0" fillId="0" borderId="6" xfId="0" applyBorder="1" applyAlignment="1">
      <alignment horizontal="center"/>
    </xf>
    <xf numFmtId="0" fontId="0" fillId="0" borderId="7" xfId="0" applyBorder="1" applyAlignment="1">
      <alignment horizontal="center"/>
    </xf>
    <xf numFmtId="0" fontId="1" fillId="2" borderId="11" xfId="0" applyFont="1" applyFill="1" applyBorder="1" applyAlignment="1" applyProtection="1">
      <alignment horizontal="left" vertical="center" wrapText="1"/>
    </xf>
    <xf numFmtId="0" fontId="1" fillId="2" borderId="11" xfId="0" applyFont="1" applyFill="1" applyBorder="1" applyAlignment="1" applyProtection="1">
      <alignment horizontal="left" vertical="center"/>
    </xf>
    <xf numFmtId="0" fontId="1" fillId="2" borderId="6" xfId="0" applyFont="1" applyFill="1" applyBorder="1" applyAlignment="1" applyProtection="1">
      <alignment horizontal="center" vertical="center" wrapText="1"/>
    </xf>
    <xf numFmtId="1" fontId="0" fillId="0" borderId="1" xfId="0" applyNumberFormat="1" applyFill="1" applyBorder="1" applyAlignment="1">
      <alignment horizontal="center" vertical="center"/>
    </xf>
    <xf numFmtId="2" fontId="0" fillId="0" borderId="1" xfId="0" applyNumberFormat="1" applyFill="1" applyBorder="1" applyAlignment="1">
      <alignment horizontal="center" vertical="center"/>
    </xf>
    <xf numFmtId="0" fontId="0" fillId="0" borderId="1" xfId="0" applyBorder="1" applyAlignment="1">
      <alignment horizontal="left" vertical="center"/>
    </xf>
    <xf numFmtId="0" fontId="0" fillId="0" borderId="1" xfId="0" applyFill="1" applyBorder="1" applyAlignment="1">
      <alignment horizontal="center" vertical="center" wrapText="1"/>
    </xf>
    <xf numFmtId="0" fontId="0" fillId="0" borderId="0" xfId="0" applyAlignment="1" applyProtection="1">
      <alignment horizontal="center" vertical="center"/>
      <protection locked="0"/>
    </xf>
    <xf numFmtId="1" fontId="0" fillId="0" borderId="1" xfId="0" applyNumberFormat="1" applyFill="1" applyBorder="1" applyAlignment="1">
      <alignment horizontal="center" vertical="center"/>
    </xf>
    <xf numFmtId="0" fontId="0" fillId="0" borderId="1" xfId="0" applyFill="1" applyBorder="1" applyAlignment="1">
      <alignment horizontal="center" vertical="center"/>
    </xf>
    <xf numFmtId="0" fontId="0" fillId="0" borderId="7" xfId="0" applyFill="1" applyBorder="1" applyAlignment="1" applyProtection="1">
      <alignment horizontal="center" vertical="center"/>
    </xf>
    <xf numFmtId="0" fontId="0" fillId="0" borderId="1" xfId="0" applyFill="1" applyBorder="1" applyAlignment="1" applyProtection="1">
      <alignment horizontal="center" vertical="center" wrapText="1"/>
    </xf>
    <xf numFmtId="0" fontId="0" fillId="0" borderId="11" xfId="0" applyFill="1" applyBorder="1" applyAlignment="1" applyProtection="1">
      <alignment horizontal="center" vertical="center"/>
    </xf>
    <xf numFmtId="0" fontId="0" fillId="0" borderId="8" xfId="0" applyFill="1" applyBorder="1" applyAlignment="1" applyProtection="1">
      <alignment horizontal="center" vertical="center"/>
    </xf>
    <xf numFmtId="164" fontId="0" fillId="0" borderId="8" xfId="0" applyNumberFormat="1" applyFill="1" applyBorder="1" applyAlignment="1" applyProtection="1">
      <alignment horizontal="center" vertical="center"/>
    </xf>
    <xf numFmtId="165" fontId="10" fillId="0" borderId="1" xfId="0" applyNumberFormat="1" applyFont="1" applyFill="1" applyBorder="1" applyAlignment="1">
      <alignment horizontal="center" vertical="center"/>
    </xf>
    <xf numFmtId="0" fontId="0" fillId="0" borderId="0" xfId="0" applyAlignment="1" applyProtection="1">
      <alignment horizontal="center" vertical="center"/>
    </xf>
    <xf numFmtId="0" fontId="0" fillId="0" borderId="0" xfId="0" applyAlignment="1">
      <alignment horizontal="left"/>
    </xf>
    <xf numFmtId="0" fontId="0" fillId="0" borderId="8" xfId="0" applyFill="1" applyBorder="1" applyAlignment="1">
      <alignment horizontal="left" vertical="center"/>
    </xf>
    <xf numFmtId="0" fontId="0" fillId="0" borderId="10" xfId="0" applyBorder="1" applyAlignment="1">
      <alignment horizontal="center" vertical="center"/>
    </xf>
    <xf numFmtId="0" fontId="14" fillId="0" borderId="12" xfId="0" applyNumberFormat="1" applyFont="1" applyFill="1" applyBorder="1" applyAlignment="1">
      <alignment horizontal="center" vertical="center" wrapText="1"/>
    </xf>
    <xf numFmtId="0" fontId="0" fillId="0" borderId="2" xfId="0" applyBorder="1"/>
    <xf numFmtId="0" fontId="0" fillId="0" borderId="7" xfId="0" applyBorder="1"/>
    <xf numFmtId="0" fontId="0" fillId="0" borderId="12" xfId="0" applyBorder="1" applyAlignment="1">
      <alignment horizontal="center" vertical="center"/>
    </xf>
    <xf numFmtId="2" fontId="10" fillId="0" borderId="1" xfId="0" applyNumberFormat="1" applyFont="1" applyBorder="1" applyAlignment="1">
      <alignment horizontal="center" vertical="center"/>
    </xf>
    <xf numFmtId="22" fontId="0" fillId="0" borderId="0" xfId="0" applyNumberFormat="1"/>
    <xf numFmtId="0" fontId="6" fillId="0" borderId="1" xfId="0" applyFont="1" applyBorder="1" applyAlignment="1">
      <alignment horizontal="center" vertical="center"/>
    </xf>
    <xf numFmtId="166" fontId="21" fillId="0" borderId="0" xfId="0" applyNumberFormat="1" applyFont="1" applyAlignment="1">
      <alignment horizontal="center" vertical="center"/>
    </xf>
    <xf numFmtId="0" fontId="0" fillId="0" borderId="0" xfId="0" quotePrefix="1"/>
    <xf numFmtId="0" fontId="0" fillId="0" borderId="1" xfId="0" applyBorder="1" applyAlignment="1">
      <alignment horizontal="right" vertical="center"/>
    </xf>
    <xf numFmtId="2" fontId="0" fillId="0" borderId="1" xfId="0" quotePrefix="1" applyNumberFormat="1" applyBorder="1" applyAlignment="1">
      <alignment horizontal="center" vertical="center"/>
    </xf>
    <xf numFmtId="0" fontId="0" fillId="6" borderId="1" xfId="0" applyFill="1" applyBorder="1"/>
    <xf numFmtId="0" fontId="0" fillId="4" borderId="1" xfId="0" applyFill="1" applyBorder="1"/>
    <xf numFmtId="0" fontId="0" fillId="5" borderId="1" xfId="0" applyFill="1" applyBorder="1"/>
    <xf numFmtId="0" fontId="0" fillId="0" borderId="1" xfId="0" applyBorder="1" applyAlignment="1">
      <alignment horizontal="center"/>
    </xf>
    <xf numFmtId="2" fontId="21" fillId="0" borderId="1" xfId="0" applyNumberFormat="1" applyFont="1" applyBorder="1" applyAlignment="1">
      <alignment horizontal="center" vertical="center"/>
    </xf>
    <xf numFmtId="0" fontId="6" fillId="3" borderId="1" xfId="0" applyFont="1" applyFill="1" applyBorder="1" applyAlignment="1">
      <alignment horizontal="center" vertical="center"/>
    </xf>
    <xf numFmtId="0" fontId="0" fillId="0" borderId="1" xfId="0" applyBorder="1" applyAlignment="1">
      <alignment horizontal="center" vertical="center"/>
    </xf>
    <xf numFmtId="0" fontId="0" fillId="0" borderId="1" xfId="0" applyBorder="1" applyAlignment="1"/>
    <xf numFmtId="0" fontId="0" fillId="0" borderId="1" xfId="0" applyFill="1" applyBorder="1" applyAlignment="1">
      <alignment vertical="center" wrapText="1"/>
    </xf>
    <xf numFmtId="0" fontId="11" fillId="0" borderId="1" xfId="0" applyFont="1"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vertical="center"/>
    </xf>
    <xf numFmtId="0" fontId="0" fillId="0" borderId="13" xfId="0" applyFill="1" applyBorder="1" applyAlignment="1">
      <alignment horizontal="center" vertical="center"/>
    </xf>
    <xf numFmtId="1" fontId="0" fillId="0" borderId="0" xfId="0" applyNumberFormat="1"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vertical="center"/>
    </xf>
    <xf numFmtId="0" fontId="23" fillId="0" borderId="0" xfId="0" applyFont="1"/>
    <xf numFmtId="0" fontId="21" fillId="0" borderId="0" xfId="0" applyFont="1"/>
    <xf numFmtId="0" fontId="10" fillId="0" borderId="1" xfId="0" applyFont="1" applyBorder="1" applyAlignment="1">
      <alignment horizontal="center" vertical="center" wrapText="1"/>
    </xf>
    <xf numFmtId="0" fontId="3" fillId="2" borderId="6" xfId="0" applyFont="1" applyFill="1" applyBorder="1" applyAlignment="1">
      <alignment horizontal="center" vertical="center" wrapText="1"/>
    </xf>
    <xf numFmtId="0" fontId="3" fillId="2" borderId="5" xfId="0" applyFont="1" applyFill="1" applyBorder="1" applyAlignment="1">
      <alignment horizontal="center" vertical="center" wrapText="1"/>
    </xf>
    <xf numFmtId="0" fontId="0" fillId="0" borderId="0" xfId="0" applyBorder="1" applyAlignment="1">
      <alignment horizontal="left" vertical="center" wrapText="1"/>
    </xf>
    <xf numFmtId="0" fontId="3" fillId="2" borderId="1" xfId="0" applyFont="1" applyFill="1" applyBorder="1" applyAlignment="1">
      <alignment horizontal="center" vertical="center" wrapText="1"/>
    </xf>
    <xf numFmtId="0" fontId="3" fillId="2" borderId="3" xfId="0" applyFont="1" applyFill="1" applyBorder="1" applyAlignment="1">
      <alignment horizontal="center" vertical="center" wrapText="1"/>
    </xf>
    <xf numFmtId="0" fontId="3" fillId="2" borderId="8" xfId="0" applyFont="1" applyFill="1" applyBorder="1" applyAlignment="1">
      <alignment horizontal="center" vertical="center" wrapText="1"/>
    </xf>
    <xf numFmtId="0" fontId="3" fillId="2" borderId="2" xfId="0" applyFont="1" applyFill="1" applyBorder="1" applyAlignment="1">
      <alignment horizontal="center" vertical="center" wrapText="1"/>
    </xf>
    <xf numFmtId="0" fontId="3" fillId="2" borderId="7" xfId="0" applyFont="1" applyFill="1" applyBorder="1" applyAlignment="1">
      <alignment horizontal="center" vertical="center" wrapText="1"/>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0"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21" xfId="0" applyBorder="1" applyAlignment="1">
      <alignment horizontal="center" vertical="center"/>
    </xf>
    <xf numFmtId="0" fontId="6" fillId="0" borderId="1" xfId="0" applyFont="1" applyBorder="1" applyAlignment="1">
      <alignment horizontal="center" vertical="center"/>
    </xf>
    <xf numFmtId="0" fontId="6" fillId="0" borderId="1" xfId="0" applyFont="1" applyBorder="1" applyAlignment="1">
      <alignment horizontal="center" vertical="center" wrapText="1"/>
    </xf>
    <xf numFmtId="0" fontId="0" fillId="0" borderId="1" xfId="0" applyBorder="1" applyAlignment="1">
      <alignment horizontal="center" vertical="center"/>
    </xf>
  </cellXfs>
  <cellStyles count="1">
    <cellStyle name="Normal" xfId="0" builtinId="0"/>
  </cellStyles>
  <dxfs count="54">
    <dxf>
      <border diagonalUp="0" diagonalDown="0">
        <left/>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protection locked="1" hidden="0"/>
    </dxf>
    <dxf>
      <border>
        <bottom style="thin">
          <color indexed="64"/>
        </bottom>
      </border>
    </dxf>
    <dxf>
      <font>
        <b/>
        <i val="0"/>
        <strike val="0"/>
        <condense val="0"/>
        <extend val="0"/>
        <outline val="0"/>
        <shadow val="0"/>
        <u val="none"/>
        <vertAlign val="baseline"/>
        <sz val="11"/>
        <color theme="0"/>
        <name val="Calibri"/>
        <scheme val="minor"/>
      </font>
      <fill>
        <patternFill patternType="solid">
          <fgColor indexed="64"/>
          <bgColor rgb="FF0070C0"/>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border diagonalUp="0" diagonalDown="0">
        <left style="thin">
          <color indexed="64"/>
        </left>
        <right/>
        <top style="thin">
          <color indexed="64"/>
        </top>
        <bottom style="thin">
          <color indexed="64"/>
        </bottom>
        <vertical style="thin">
          <color indexed="64"/>
        </vertical>
        <horizontal style="thin">
          <color indexed="64"/>
        </horizontal>
      </border>
      <protection locked="1" hidden="0"/>
    </dxf>
    <dxf>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protection locked="1" hidden="0"/>
    </dxf>
    <dxf>
      <border>
        <bottom style="thin">
          <color indexed="64"/>
        </bottom>
      </border>
    </dxf>
    <dxf>
      <font>
        <b/>
        <i val="0"/>
        <strike val="0"/>
        <condense val="0"/>
        <extend val="0"/>
        <outline val="0"/>
        <shadow val="0"/>
        <u val="none"/>
        <vertAlign val="baseline"/>
        <sz val="11"/>
        <color theme="0"/>
        <name val="Calibri"/>
        <scheme val="minor"/>
      </font>
      <fill>
        <patternFill patternType="solid">
          <fgColor indexed="64"/>
          <bgColor rgb="FF0070C0"/>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alignment horizontal="center" vertical="center" textRotation="0" wrapText="0" indent="0" justifyLastLine="0" shrinkToFit="0" readingOrder="0"/>
      <border diagonalUp="0" diagonalDown="0">
        <left/>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protection locked="1" hidden="0"/>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indexed="64"/>
          <bgColor rgb="FF0070C0"/>
        </patternFill>
      </fill>
      <alignment horizontal="center" vertical="center" textRotation="0" wrapText="0" indent="0" justifyLastLine="0" shrinkToFit="0" readingOrder="0"/>
      <protection locked="1" hidden="0"/>
    </dxf>
    <dxf>
      <protection locked="1" hidden="0"/>
    </dxf>
    <dxf>
      <protection locked="1" hidden="0"/>
    </dxf>
    <dxf>
      <fill>
        <patternFill patternType="none">
          <fgColor indexed="64"/>
          <bgColor auto="1"/>
        </patternFill>
      </fill>
      <alignment horizontal="left" vertical="center" textRotation="0" wrapText="0" indent="0" justifyLastLine="0" shrinkToFit="0" readingOrder="0"/>
      <protection locked="1" hidden="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numFmt numFmtId="164" formatCode="0.000"/>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protection locked="1" hidden="0"/>
    </dxf>
    <dxf>
      <border>
        <bottom style="thin">
          <color indexed="64"/>
        </bottom>
      </border>
    </dxf>
    <dxf>
      <font>
        <b/>
        <i val="0"/>
        <strike val="0"/>
        <condense val="0"/>
        <extend val="0"/>
        <outline val="0"/>
        <shadow val="0"/>
        <u val="none"/>
        <vertAlign val="baseline"/>
        <sz val="11"/>
        <color theme="0"/>
        <name val="Calibri"/>
        <scheme val="minor"/>
      </font>
      <fill>
        <patternFill patternType="solid">
          <fgColor indexed="64"/>
          <bgColor rgb="FF0070C0"/>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s>
  <tableStyles count="0" defaultTableStyle="TableStyleMedium2" defaultPivotStyle="PivotStyleMedium9"/>
  <colors>
    <mruColors>
      <color rgb="FFFFFFFF"/>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123825</xdr:rowOff>
    </xdr:from>
    <xdr:to>
      <xdr:col>2</xdr:col>
      <xdr:colOff>262455</xdr:colOff>
      <xdr:row>5</xdr:row>
      <xdr:rowOff>123825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0" y="504825"/>
          <a:ext cx="1786455" cy="5715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6</xdr:col>
          <xdr:colOff>28575</xdr:colOff>
          <xdr:row>7</xdr:row>
          <xdr:rowOff>171450</xdr:rowOff>
        </xdr:from>
        <xdr:to>
          <xdr:col>9</xdr:col>
          <xdr:colOff>104775</xdr:colOff>
          <xdr:row>9</xdr:row>
          <xdr:rowOff>333375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0000FF"/>
                  </a:solidFill>
                  <a:latin typeface="Arial"/>
                  <a:cs typeface="Arial"/>
                </a:rPr>
                <a:t>Dent Analysis Tool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1</xdr:col>
      <xdr:colOff>1085850</xdr:colOff>
      <xdr:row>33</xdr:row>
      <xdr:rowOff>50986</xdr:rowOff>
    </xdr:from>
    <xdr:ext cx="509114" cy="192873"/>
    <mc:AlternateContent xmlns:mc="http://schemas.openxmlformats.org/markup-compatibility/2006" xmlns:a14="http://schemas.microsoft.com/office/drawing/2010/main">
      <mc:Choice Requires="a14">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2981325" y="7366186"/>
              <a:ext cx="509114" cy="1928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en-US" sz="1100" b="0" i="0" u="none" strike="noStrike" baseline="0" smtClean="0">
                        <a:solidFill>
                          <a:schemeClr val="tx1"/>
                        </a:solidFill>
                        <a:latin typeface="+mn-lt"/>
                        <a:ea typeface="+mn-ea"/>
                        <a:cs typeface="+mn-cs"/>
                      </a:rPr>
                      <m:t>𝜎</m:t>
                    </m:r>
                    <m:r>
                      <m:rPr>
                        <m:nor/>
                      </m:rPr>
                      <a:rPr lang="en-US" sz="1100" b="0" i="0" u="none" strike="noStrike" baseline="-25000" smtClean="0">
                        <a:solidFill>
                          <a:schemeClr val="tx1"/>
                        </a:solidFill>
                        <a:latin typeface="+mn-lt"/>
                        <a:ea typeface="+mn-ea"/>
                        <a:cs typeface="+mn-cs"/>
                      </a:rPr>
                      <m:t>𝑀𝐴𝑋</m:t>
                    </m:r>
                    <m:r>
                      <m:rPr>
                        <m:nor/>
                      </m:rPr>
                      <a:rPr lang="en-US" sz="1100" b="0" i="0" u="none" strike="noStrike" baseline="0" smtClean="0">
                        <a:solidFill>
                          <a:schemeClr val="tx1"/>
                        </a:solidFill>
                        <a:latin typeface="+mn-lt"/>
                        <a:ea typeface="+mn-ea"/>
                        <a:cs typeface="+mn-cs"/>
                      </a:rPr>
                      <m:t> ∗</m:t>
                    </m:r>
                    <m:r>
                      <m:rPr>
                        <m:nor/>
                      </m:rPr>
                      <a:rPr lang="en-US" sz="1100" b="0" i="0" u="none" strike="noStrike" baseline="0" smtClean="0">
                        <a:solidFill>
                          <a:schemeClr val="tx1"/>
                        </a:solidFill>
                        <a:latin typeface="+mn-lt"/>
                        <a:ea typeface="+mn-ea"/>
                        <a:cs typeface="+mn-cs"/>
                      </a:rPr>
                      <m:t>𝑡</m:t>
                    </m:r>
                    <m:r>
                      <m:rPr>
                        <m:nor/>
                      </m:rPr>
                      <a:rPr lang="en-US" sz="1100" b="0" i="0" u="none" strike="noStrike" baseline="0" smtClean="0">
                        <a:solidFill>
                          <a:schemeClr val="tx1"/>
                        </a:solidFill>
                        <a:latin typeface="+mn-lt"/>
                        <a:ea typeface="+mn-ea"/>
                        <a:cs typeface="+mn-cs"/>
                      </a:rPr>
                      <m:t> 	</m:t>
                    </m:r>
                  </m:oMath>
                </m:oMathPara>
              </a14:m>
              <a:endParaRPr lang="en-US" sz="1100" b="0" i="0" u="none" strike="noStrike" baseline="0">
                <a:solidFill>
                  <a:schemeClr val="tx1"/>
                </a:solidFill>
                <a:latin typeface="+mn-lt"/>
                <a:ea typeface="+mn-ea"/>
                <a:cs typeface="+mn-cs"/>
              </a:endParaRPr>
            </a:p>
          </xdr:txBody>
        </xdr:sp>
      </mc:Choice>
      <mc:Fallback xmlns="">
        <xdr:sp macro="" textlink="">
          <xdr:nvSpPr>
            <xdr:cNvPr id="15" name="TextBox 14"/>
            <xdr:cNvSpPr txBox="1"/>
          </xdr:nvSpPr>
          <xdr:spPr>
            <a:xfrm>
              <a:off x="2981325" y="7366186"/>
              <a:ext cx="509114" cy="1928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u="none" strike="noStrike" baseline="0" smtClean="0">
                  <a:solidFill>
                    <a:schemeClr val="tx1"/>
                  </a:solidFill>
                  <a:latin typeface="Cambria Math" panose="02040503050406030204" pitchFamily="18" charset="0"/>
                  <a:ea typeface="+mn-ea"/>
                  <a:cs typeface="+mn-cs"/>
                </a:rPr>
                <a:t>"𝜎</a:t>
              </a:r>
              <a:r>
                <a:rPr lang="en-US" sz="1100" b="0" i="0" u="none" strike="noStrike" baseline="-25000" smtClean="0">
                  <a:solidFill>
                    <a:schemeClr val="tx1"/>
                  </a:solidFill>
                  <a:latin typeface="Cambria Math" panose="02040503050406030204" pitchFamily="18" charset="0"/>
                  <a:ea typeface="+mn-ea"/>
                  <a:cs typeface="+mn-cs"/>
                </a:rPr>
                <a:t>𝑀𝐴𝑋</a:t>
              </a:r>
              <a:r>
                <a:rPr lang="en-US" sz="1100" b="0" i="0" u="none" strike="noStrike" baseline="0" smtClean="0">
                  <a:solidFill>
                    <a:schemeClr val="tx1"/>
                  </a:solidFill>
                  <a:latin typeface="Cambria Math" panose="02040503050406030204" pitchFamily="18" charset="0"/>
                  <a:ea typeface="+mn-ea"/>
                  <a:cs typeface="+mn-cs"/>
                </a:rPr>
                <a:t> ∗𝑡 	</a:t>
              </a:r>
              <a:r>
                <a:rPr lang="en-US" sz="1100" b="0" i="0" u="none" strike="noStrike" baseline="0" smtClean="0">
                  <a:solidFill>
                    <a:schemeClr val="tx1"/>
                  </a:solidFill>
                  <a:latin typeface="+mn-lt"/>
                  <a:ea typeface="+mn-ea"/>
                  <a:cs typeface="+mn-cs"/>
                </a:rPr>
                <a:t>"</a:t>
              </a:r>
            </a:p>
          </xdr:txBody>
        </xdr:sp>
      </mc:Fallback>
    </mc:AlternateContent>
    <xdr:clientData/>
  </xdr:oneCellAnchor>
  <xdr:oneCellAnchor>
    <xdr:from>
      <xdr:col>1</xdr:col>
      <xdr:colOff>1000126</xdr:colOff>
      <xdr:row>34</xdr:row>
      <xdr:rowOff>104776</xdr:rowOff>
    </xdr:from>
    <xdr:ext cx="761999" cy="400049"/>
    <mc:AlternateContent xmlns:mc="http://schemas.openxmlformats.org/markup-compatibility/2006" xmlns:a14="http://schemas.microsoft.com/office/drawing/2010/main">
      <mc:Choice Requires="a14">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2876551" y="7429501"/>
              <a:ext cx="761999" cy="4000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f>
                      <m:fPr>
                        <m:ctrlPr>
                          <a:rPr lang="en-US" sz="1100" b="0" i="1" baseline="0">
                            <a:solidFill>
                              <a:schemeClr val="tx1"/>
                            </a:solidFill>
                            <a:effectLst/>
                            <a:latin typeface="Cambria Math" panose="02040503050406030204" pitchFamily="18" charset="0"/>
                            <a:ea typeface="+mn-ea"/>
                            <a:cs typeface="+mn-cs"/>
                          </a:rPr>
                        </m:ctrlPr>
                      </m:fPr>
                      <m:num>
                        <m:r>
                          <m:rPr>
                            <m:nor/>
                          </m:rPr>
                          <a:rPr lang="en-US" sz="1100" b="0" i="0" baseline="0">
                            <a:solidFill>
                              <a:schemeClr val="tx1"/>
                            </a:solidFill>
                            <a:effectLst/>
                            <a:latin typeface="+mn-lt"/>
                            <a:ea typeface="+mn-ea"/>
                            <a:cs typeface="+mn-cs"/>
                          </a:rPr>
                          <m:t>𝑁</m:t>
                        </m:r>
                        <m:r>
                          <m:rPr>
                            <m:nor/>
                          </m:rPr>
                          <a:rPr lang="en-US" sz="1100" b="0" i="0" baseline="-25000">
                            <a:solidFill>
                              <a:schemeClr val="tx1"/>
                            </a:solidFill>
                            <a:effectLst/>
                            <a:latin typeface="+mn-lt"/>
                            <a:ea typeface="+mn-ea"/>
                            <a:cs typeface="+mn-cs"/>
                          </a:rPr>
                          <m:t>𝑒𝑓𝑓</m:t>
                        </m:r>
                        <m:r>
                          <m:rPr>
                            <m:nor/>
                          </m:rPr>
                          <a:rPr lang="en-US" sz="1100" b="0" i="0" baseline="-25000">
                            <a:solidFill>
                              <a:schemeClr val="tx1"/>
                            </a:solidFill>
                            <a:effectLst/>
                            <a:latin typeface="+mn-lt"/>
                            <a:ea typeface="+mn-ea"/>
                            <a:cs typeface="+mn-cs"/>
                          </a:rPr>
                          <m:t> </m:t>
                        </m:r>
                        <m:r>
                          <m:rPr>
                            <m:nor/>
                          </m:rPr>
                          <a:rPr lang="en-US" sz="1100" b="0" i="0" baseline="0">
                            <a:solidFill>
                              <a:schemeClr val="tx1"/>
                            </a:solidFill>
                            <a:effectLst/>
                            <a:latin typeface="+mn-lt"/>
                            <a:ea typeface="+mn-ea"/>
                            <a:cs typeface="+mn-cs"/>
                          </a:rPr>
                          <m:t>x</m:t>
                        </m:r>
                        <m:r>
                          <m:rPr>
                            <m:nor/>
                          </m:rPr>
                          <a:rPr lang="en-US" sz="1100" b="0" i="0" baseline="0">
                            <a:solidFill>
                              <a:schemeClr val="tx1"/>
                            </a:solidFill>
                            <a:effectLst/>
                            <a:latin typeface="+mn-lt"/>
                            <a:ea typeface="+mn-ea"/>
                            <a:cs typeface="+mn-cs"/>
                          </a:rPr>
                          <m:t> </m:t>
                        </m:r>
                        <m:r>
                          <m:rPr>
                            <m:nor/>
                          </m:rPr>
                          <a:rPr lang="en-US" sz="1100" b="0" i="0" baseline="0">
                            <a:solidFill>
                              <a:schemeClr val="tx1"/>
                            </a:solidFill>
                            <a:effectLst/>
                            <a:latin typeface="+mn-lt"/>
                            <a:ea typeface="+mn-ea"/>
                            <a:cs typeface="+mn-cs"/>
                          </a:rPr>
                          <m:t>d</m:t>
                        </m:r>
                      </m:num>
                      <m:den>
                        <m:r>
                          <a:rPr lang="en-US" sz="1100" b="0" i="1" baseline="0">
                            <a:solidFill>
                              <a:schemeClr val="tx1"/>
                            </a:solidFill>
                            <a:effectLst/>
                            <a:latin typeface="Cambria Math" panose="02040503050406030204" pitchFamily="18" charset="0"/>
                            <a:ea typeface="+mn-ea"/>
                            <a:cs typeface="+mn-cs"/>
                          </a:rPr>
                          <m:t>2</m:t>
                        </m:r>
                      </m:den>
                    </m:f>
                  </m:oMath>
                </m:oMathPara>
              </a14:m>
              <a:endParaRPr lang="en-US" sz="1100" b="0" i="0" u="none" strike="noStrike" baseline="0">
                <a:solidFill>
                  <a:schemeClr val="tx1"/>
                </a:solidFill>
                <a:latin typeface="+mn-lt"/>
                <a:ea typeface="+mn-ea"/>
                <a:cs typeface="+mn-cs"/>
              </a:endParaRPr>
            </a:p>
          </xdr:txBody>
        </xdr:sp>
      </mc:Choice>
      <mc:Fallback xmlns="">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2876551" y="7429501"/>
              <a:ext cx="761999" cy="4000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n-US" sz="1100" b="0" i="0" baseline="0">
                  <a:solidFill>
                    <a:schemeClr val="tx1"/>
                  </a:solidFill>
                  <a:effectLst/>
                  <a:latin typeface="+mn-lt"/>
                  <a:ea typeface="+mn-ea"/>
                  <a:cs typeface="+mn-cs"/>
                </a:rPr>
                <a:t>"𝑁</a:t>
              </a:r>
              <a:r>
                <a:rPr lang="en-US" sz="1100" b="0" i="0" baseline="-25000">
                  <a:solidFill>
                    <a:schemeClr val="tx1"/>
                  </a:solidFill>
                  <a:effectLst/>
                  <a:latin typeface="+mn-lt"/>
                  <a:ea typeface="+mn-ea"/>
                  <a:cs typeface="+mn-cs"/>
                </a:rPr>
                <a:t>𝑒𝑓𝑓 </a:t>
              </a:r>
              <a:r>
                <a:rPr lang="en-US" sz="1100" b="0" i="0" baseline="0">
                  <a:solidFill>
                    <a:schemeClr val="tx1"/>
                  </a:solidFill>
                  <a:effectLst/>
                  <a:latin typeface="+mn-lt"/>
                  <a:ea typeface="+mn-ea"/>
                  <a:cs typeface="+mn-cs"/>
                </a:rPr>
                <a:t>x d</a:t>
              </a:r>
              <a:r>
                <a:rPr lang="en-US" sz="1100" b="0" i="0" baseline="0">
                  <a:solidFill>
                    <a:schemeClr val="tx1"/>
                  </a:solidFill>
                  <a:effectLst/>
                  <a:latin typeface="Cambria Math" panose="02040503050406030204" pitchFamily="18" charset="0"/>
                  <a:ea typeface="+mn-ea"/>
                  <a:cs typeface="+mn-cs"/>
                </a:rPr>
                <a:t>" /2</a:t>
              </a:r>
              <a:endParaRPr lang="en-US" sz="1100" b="0" i="0" u="none" strike="noStrike" baseline="0">
                <a:solidFill>
                  <a:schemeClr val="tx1"/>
                </a:solidFill>
                <a:latin typeface="+mn-lt"/>
                <a:ea typeface="+mn-ea"/>
                <a:cs typeface="+mn-cs"/>
              </a:endParaRPr>
            </a:p>
          </xdr:txBody>
        </xdr:sp>
      </mc:Fallback>
    </mc:AlternateContent>
    <xdr:clientData/>
  </xdr:oneCellAnchor>
  <xdr:oneCellAnchor>
    <xdr:from>
      <xdr:col>1</xdr:col>
      <xdr:colOff>1114425</xdr:colOff>
      <xdr:row>35</xdr:row>
      <xdr:rowOff>72838</xdr:rowOff>
    </xdr:from>
    <xdr:ext cx="533415" cy="315792"/>
    <mc:AlternateContent xmlns:mc="http://schemas.openxmlformats.org/markup-compatibility/2006" xmlns:a14="http://schemas.microsoft.com/office/drawing/2010/main">
      <mc:Choice Requires="a14">
        <xdr:sp macro="" textlink="">
          <xdr:nvSpPr>
            <xdr:cNvPr id="21" name="TextBox 20">
              <a:extLst>
                <a:ext uri="{FF2B5EF4-FFF2-40B4-BE49-F238E27FC236}">
                  <a16:creationId xmlns:a16="http://schemas.microsoft.com/office/drawing/2014/main" id="{00000000-0008-0000-0200-000015000000}"/>
                </a:ext>
              </a:extLst>
            </xdr:cNvPr>
            <xdr:cNvSpPr txBox="1"/>
          </xdr:nvSpPr>
          <xdr:spPr>
            <a:xfrm>
              <a:off x="3009900" y="8388163"/>
              <a:ext cx="533415" cy="3157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US" sz="1100" b="0" i="1" u="none" strike="noStrike" baseline="0" smtClean="0">
                            <a:solidFill>
                              <a:schemeClr val="tx1"/>
                            </a:solidFill>
                            <a:latin typeface="Cambria Math" panose="02040503050406030204" pitchFamily="18" charset="0"/>
                            <a:ea typeface="+mn-ea"/>
                            <a:cs typeface="+mn-cs"/>
                          </a:rPr>
                        </m:ctrlPr>
                      </m:fPr>
                      <m:num>
                        <m:r>
                          <m:rPr>
                            <m:nor/>
                          </m:rPr>
                          <a:rPr lang="en-US" sz="1100" b="0" i="0" baseline="0">
                            <a:solidFill>
                              <a:schemeClr val="tx1"/>
                            </a:solidFill>
                            <a:effectLst/>
                            <a:latin typeface="+mn-lt"/>
                            <a:ea typeface="+mn-ea"/>
                            <a:cs typeface="+mn-cs"/>
                          </a:rPr>
                          <m:t>6</m:t>
                        </m:r>
                        <m:r>
                          <m:rPr>
                            <m:nor/>
                          </m:rPr>
                          <a:rPr lang="en-US" sz="1100" b="0" i="0" baseline="-25000">
                            <a:solidFill>
                              <a:schemeClr val="tx1"/>
                            </a:solidFill>
                            <a:effectLst/>
                            <a:latin typeface="+mn-lt"/>
                            <a:ea typeface="+mn-ea"/>
                            <a:cs typeface="+mn-cs"/>
                          </a:rPr>
                          <m:t> </m:t>
                        </m:r>
                        <m:r>
                          <m:rPr>
                            <m:nor/>
                          </m:rPr>
                          <a:rPr lang="en-US" sz="1100" b="0" i="0" baseline="0">
                            <a:solidFill>
                              <a:schemeClr val="tx1"/>
                            </a:solidFill>
                            <a:effectLst/>
                            <a:latin typeface="+mn-lt"/>
                            <a:ea typeface="+mn-ea"/>
                            <a:cs typeface="+mn-cs"/>
                          </a:rPr>
                          <m:t>x</m:t>
                        </m:r>
                        <m:r>
                          <m:rPr>
                            <m:nor/>
                          </m:rPr>
                          <a:rPr lang="en-US" sz="1100" b="0" i="0" baseline="0">
                            <a:solidFill>
                              <a:schemeClr val="tx1"/>
                            </a:solidFill>
                            <a:effectLst/>
                            <a:latin typeface="+mn-lt"/>
                            <a:ea typeface="+mn-ea"/>
                            <a:cs typeface="+mn-cs"/>
                          </a:rPr>
                          <m:t> </m:t>
                        </m:r>
                        <m:r>
                          <a:rPr lang="en-US" sz="1100" b="0" i="1" baseline="0">
                            <a:solidFill>
                              <a:schemeClr val="tx1"/>
                            </a:solidFill>
                            <a:effectLst/>
                            <a:latin typeface="Cambria Math" panose="02040503050406030204" pitchFamily="18" charset="0"/>
                            <a:ea typeface="+mn-ea"/>
                            <a:cs typeface="+mn-cs"/>
                          </a:rPr>
                          <m:t>𝑀</m:t>
                        </m:r>
                        <m:r>
                          <a:rPr lang="en-US" sz="1100" b="0" i="1" baseline="-25000">
                            <a:solidFill>
                              <a:schemeClr val="tx1"/>
                            </a:solidFill>
                            <a:effectLst/>
                            <a:latin typeface="Cambria Math" panose="02040503050406030204" pitchFamily="18" charset="0"/>
                            <a:ea typeface="+mn-ea"/>
                            <a:cs typeface="+mn-cs"/>
                          </a:rPr>
                          <m:t>𝑑𝑒𝑛𝑡</m:t>
                        </m:r>
                      </m:num>
                      <m:den>
                        <m:r>
                          <a:rPr lang="en-US" sz="1100" b="0" i="1" baseline="0">
                            <a:solidFill>
                              <a:schemeClr val="tx1"/>
                            </a:solidFill>
                            <a:effectLst/>
                            <a:latin typeface="Cambria Math" panose="02040503050406030204" pitchFamily="18" charset="0"/>
                            <a:ea typeface="+mn-ea"/>
                            <a:cs typeface="+mn-cs"/>
                          </a:rPr>
                          <m:t>𝑡</m:t>
                        </m:r>
                        <m:r>
                          <a:rPr lang="en-US" sz="1100" b="0" i="1" baseline="30000">
                            <a:solidFill>
                              <a:schemeClr val="tx1"/>
                            </a:solidFill>
                            <a:effectLst/>
                            <a:latin typeface="Cambria Math" panose="02040503050406030204" pitchFamily="18" charset="0"/>
                            <a:ea typeface="+mn-ea"/>
                            <a:cs typeface="+mn-cs"/>
                          </a:rPr>
                          <m:t>2</m:t>
                        </m:r>
                      </m:den>
                    </m:f>
                  </m:oMath>
                </m:oMathPara>
              </a14:m>
              <a:endParaRPr lang="en-US" sz="1100" b="0" i="0" u="none" strike="noStrike" baseline="0">
                <a:solidFill>
                  <a:schemeClr val="tx1"/>
                </a:solidFill>
                <a:latin typeface="+mn-lt"/>
                <a:ea typeface="+mn-ea"/>
                <a:cs typeface="+mn-cs"/>
              </a:endParaRPr>
            </a:p>
          </xdr:txBody>
        </xdr:sp>
      </mc:Choice>
      <mc:Fallback xmlns="">
        <xdr:sp macro="" textlink="">
          <xdr:nvSpPr>
            <xdr:cNvPr id="21" name="TextBox 20"/>
            <xdr:cNvSpPr txBox="1"/>
          </xdr:nvSpPr>
          <xdr:spPr>
            <a:xfrm>
              <a:off x="3009900" y="8388163"/>
              <a:ext cx="533415" cy="3157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u="none" strike="noStrike" baseline="0" smtClean="0">
                  <a:solidFill>
                    <a:schemeClr val="tx1"/>
                  </a:solidFill>
                  <a:latin typeface="Cambria Math" panose="02040503050406030204" pitchFamily="18" charset="0"/>
                  <a:ea typeface="+mn-ea"/>
                  <a:cs typeface="+mn-cs"/>
                </a:rPr>
                <a:t>(</a:t>
              </a:r>
              <a:r>
                <a:rPr lang="en-US" sz="1100" b="0" i="0" u="none" strike="noStrike" baseline="0">
                  <a:solidFill>
                    <a:schemeClr val="tx1"/>
                  </a:solidFill>
                  <a:effectLst/>
                  <a:latin typeface="+mn-lt"/>
                  <a:ea typeface="+mn-ea"/>
                  <a:cs typeface="+mn-cs"/>
                </a:rPr>
                <a:t>"</a:t>
              </a:r>
              <a:r>
                <a:rPr lang="en-US" sz="1100" b="0" i="0" baseline="0">
                  <a:solidFill>
                    <a:schemeClr val="tx1"/>
                  </a:solidFill>
                  <a:effectLst/>
                  <a:latin typeface="+mn-lt"/>
                  <a:ea typeface="+mn-ea"/>
                  <a:cs typeface="+mn-cs"/>
                </a:rPr>
                <a:t>6</a:t>
              </a:r>
              <a:r>
                <a:rPr lang="en-US" sz="1100" b="0" i="0" baseline="-25000">
                  <a:solidFill>
                    <a:schemeClr val="tx1"/>
                  </a:solidFill>
                  <a:effectLst/>
                  <a:latin typeface="+mn-lt"/>
                  <a:ea typeface="+mn-ea"/>
                  <a:cs typeface="+mn-cs"/>
                </a:rPr>
                <a:t> </a:t>
              </a:r>
              <a:r>
                <a:rPr lang="en-US" sz="1100" b="0" i="0" baseline="0">
                  <a:solidFill>
                    <a:schemeClr val="tx1"/>
                  </a:solidFill>
                  <a:effectLst/>
                  <a:latin typeface="+mn-lt"/>
                  <a:ea typeface="+mn-ea"/>
                  <a:cs typeface="+mn-cs"/>
                </a:rPr>
                <a:t>x </a:t>
              </a:r>
              <a:r>
                <a:rPr lang="en-US" sz="1100" b="0" i="0" baseline="0">
                  <a:solidFill>
                    <a:schemeClr val="tx1"/>
                  </a:solidFill>
                  <a:effectLst/>
                  <a:latin typeface="Cambria Math" panose="02040503050406030204" pitchFamily="18" charset="0"/>
                  <a:ea typeface="+mn-ea"/>
                  <a:cs typeface="+mn-cs"/>
                </a:rPr>
                <a:t>" 𝑀</a:t>
              </a:r>
              <a:r>
                <a:rPr lang="en-US" sz="1100" b="0" i="0" baseline="-25000">
                  <a:solidFill>
                    <a:schemeClr val="tx1"/>
                  </a:solidFill>
                  <a:effectLst/>
                  <a:latin typeface="Cambria Math" panose="02040503050406030204" pitchFamily="18" charset="0"/>
                  <a:ea typeface="+mn-ea"/>
                  <a:cs typeface="+mn-cs"/>
                </a:rPr>
                <a:t>𝑑𝑒𝑛𝑡</a:t>
              </a:r>
              <a:r>
                <a:rPr lang="en-US" sz="1100" b="0" i="0" u="none" strike="noStrike" baseline="0" smtClean="0">
                  <a:solidFill>
                    <a:schemeClr val="tx1"/>
                  </a:solidFill>
                  <a:effectLst/>
                  <a:latin typeface="Cambria Math" panose="02040503050406030204" pitchFamily="18" charset="0"/>
                  <a:ea typeface="+mn-ea"/>
                  <a:cs typeface="+mn-cs"/>
                </a:rPr>
                <a:t>)/</a:t>
              </a:r>
              <a:r>
                <a:rPr lang="en-US" sz="1100" b="0" i="0" baseline="0">
                  <a:solidFill>
                    <a:schemeClr val="tx1"/>
                  </a:solidFill>
                  <a:effectLst/>
                  <a:latin typeface="Cambria Math" panose="02040503050406030204" pitchFamily="18" charset="0"/>
                  <a:ea typeface="+mn-ea"/>
                  <a:cs typeface="+mn-cs"/>
                </a:rPr>
                <a:t>𝑡</a:t>
              </a:r>
              <a:r>
                <a:rPr lang="en-US" sz="1100" b="0" i="0" baseline="30000">
                  <a:solidFill>
                    <a:schemeClr val="tx1"/>
                  </a:solidFill>
                  <a:effectLst/>
                  <a:latin typeface="Cambria Math" panose="02040503050406030204" pitchFamily="18" charset="0"/>
                  <a:ea typeface="+mn-ea"/>
                  <a:cs typeface="+mn-cs"/>
                </a:rPr>
                <a:t>2</a:t>
              </a:r>
              <a:endParaRPr lang="en-US" sz="1100" b="0" i="0" u="none" strike="noStrike" baseline="0" smtClean="0">
                <a:solidFill>
                  <a:schemeClr val="tx1"/>
                </a:solidFill>
                <a:latin typeface="+mn-lt"/>
                <a:ea typeface="+mn-ea"/>
                <a:cs typeface="+mn-cs"/>
              </a:endParaRPr>
            </a:p>
          </xdr:txBody>
        </xdr:sp>
      </mc:Fallback>
    </mc:AlternateContent>
    <xdr:clientData/>
  </xdr:oneCellAnchor>
  <xdr:oneCellAnchor>
    <xdr:from>
      <xdr:col>1</xdr:col>
      <xdr:colOff>1028700</xdr:colOff>
      <xdr:row>36</xdr:row>
      <xdr:rowOff>59951</xdr:rowOff>
    </xdr:from>
    <xdr:ext cx="819150" cy="371475"/>
    <mc:AlternateContent xmlns:mc="http://schemas.openxmlformats.org/markup-compatibility/2006" xmlns:a14="http://schemas.microsoft.com/office/drawing/2010/main">
      <mc:Choice Requires="a14">
        <xdr:sp macro="" textlink="">
          <xdr:nvSpPr>
            <xdr:cNvPr id="30" name="TextBox 29">
              <a:extLst>
                <a:ext uri="{FF2B5EF4-FFF2-40B4-BE49-F238E27FC236}">
                  <a16:creationId xmlns:a16="http://schemas.microsoft.com/office/drawing/2014/main" id="{00000000-0008-0000-0200-00001E000000}"/>
                </a:ext>
              </a:extLst>
            </xdr:cNvPr>
            <xdr:cNvSpPr txBox="1"/>
          </xdr:nvSpPr>
          <xdr:spPr>
            <a:xfrm>
              <a:off x="2924175" y="8794376"/>
              <a:ext cx="819150"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f>
                    <m:fPr>
                      <m:ctrlPr>
                        <a:rPr lang="en-US" sz="1100" b="0" i="1" u="none" strike="noStrike" baseline="0" smtClean="0">
                          <a:solidFill>
                            <a:schemeClr val="tx1"/>
                          </a:solidFill>
                          <a:latin typeface="Cambria Math" panose="02040503050406030204" pitchFamily="18" charset="0"/>
                          <a:ea typeface="+mn-ea"/>
                          <a:cs typeface="+mn-cs"/>
                        </a:rPr>
                      </m:ctrlPr>
                    </m:fPr>
                    <m:num>
                      <m:r>
                        <m:rPr>
                          <m:nor/>
                        </m:rPr>
                        <a:rPr lang="en-US" sz="1100" b="0" i="1" u="none" strike="noStrike" baseline="0" smtClean="0">
                          <a:solidFill>
                            <a:schemeClr val="tx1"/>
                          </a:solidFill>
                          <a:latin typeface="Cambria Math" panose="02040503050406030204" pitchFamily="18" charset="0"/>
                          <a:ea typeface="+mn-ea"/>
                          <a:cs typeface="+mn-cs"/>
                        </a:rPr>
                        <m:t>F</m:t>
                      </m:r>
                      <m:r>
                        <m:rPr>
                          <m:nor/>
                        </m:rPr>
                        <a:rPr lang="en-US" sz="1100" b="0" i="0" baseline="-25000">
                          <a:solidFill>
                            <a:schemeClr val="tx1"/>
                          </a:solidFill>
                          <a:effectLst/>
                          <a:latin typeface="+mn-lt"/>
                          <a:ea typeface="+mn-ea"/>
                          <a:cs typeface="+mn-cs"/>
                        </a:rPr>
                        <m:t>allow</m:t>
                      </m:r>
                      <m:r>
                        <m:rPr>
                          <m:nor/>
                        </m:rPr>
                        <a:rPr lang="en-US" sz="1100" b="0" i="0" baseline="-25000">
                          <a:solidFill>
                            <a:schemeClr val="tx1"/>
                          </a:solidFill>
                          <a:effectLst/>
                          <a:latin typeface="+mn-lt"/>
                          <a:ea typeface="+mn-ea"/>
                          <a:cs typeface="+mn-cs"/>
                        </a:rPr>
                        <m:t> </m:t>
                      </m:r>
                      <m:r>
                        <m:rPr>
                          <m:nor/>
                        </m:rPr>
                        <a:rPr lang="en-US" sz="1100" b="0" i="0" baseline="0">
                          <a:solidFill>
                            <a:schemeClr val="tx1"/>
                          </a:solidFill>
                          <a:effectLst/>
                          <a:latin typeface="+mn-lt"/>
                          <a:ea typeface="+mn-ea"/>
                          <a:cs typeface="+mn-cs"/>
                        </a:rPr>
                        <m:t>x</m:t>
                      </m:r>
                      <m:r>
                        <m:rPr>
                          <m:nor/>
                        </m:rPr>
                        <a:rPr lang="en-US" sz="1100" b="0" i="0" baseline="0">
                          <a:solidFill>
                            <a:schemeClr val="tx1"/>
                          </a:solidFill>
                          <a:effectLst/>
                          <a:latin typeface="+mn-lt"/>
                          <a:ea typeface="+mn-ea"/>
                          <a:cs typeface="+mn-cs"/>
                        </a:rPr>
                        <m:t> </m:t>
                      </m:r>
                      <m:r>
                        <a:rPr lang="en-US" sz="1100" b="0" i="1" baseline="0">
                          <a:solidFill>
                            <a:schemeClr val="tx1"/>
                          </a:solidFill>
                          <a:effectLst/>
                          <a:latin typeface="Cambria Math" panose="02040503050406030204" pitchFamily="18" charset="0"/>
                          <a:ea typeface="+mn-ea"/>
                          <a:cs typeface="+mn-cs"/>
                        </a:rPr>
                        <m:t>𝑇𝑅𝐹</m:t>
                      </m:r>
                    </m:num>
                    <m:den>
                      <m:r>
                        <m:rPr>
                          <m:nor/>
                        </m:rPr>
                        <a:rPr lang="en-US" sz="1100" b="0" i="0" baseline="0">
                          <a:solidFill>
                            <a:schemeClr val="tx1"/>
                          </a:solidFill>
                          <a:effectLst/>
                          <a:latin typeface="+mn-lt"/>
                          <a:ea typeface="+mn-ea"/>
                          <a:cs typeface="+mn-cs"/>
                        </a:rPr>
                        <m:t>|</m:t>
                      </m:r>
                      <m:r>
                        <m:rPr>
                          <m:nor/>
                        </m:rPr>
                        <a:rPr lang="en-US" sz="1100" b="0" i="0" baseline="0">
                          <a:solidFill>
                            <a:schemeClr val="tx1"/>
                          </a:solidFill>
                          <a:effectLst/>
                          <a:latin typeface="+mn-lt"/>
                          <a:ea typeface="+mn-ea"/>
                          <a:cs typeface="+mn-cs"/>
                        </a:rPr>
                        <m:t>𝜎</m:t>
                      </m:r>
                      <m:r>
                        <m:rPr>
                          <m:nor/>
                        </m:rPr>
                        <a:rPr lang="en-US" sz="1100" b="0" i="0" baseline="-25000">
                          <a:solidFill>
                            <a:schemeClr val="tx1"/>
                          </a:solidFill>
                          <a:effectLst/>
                          <a:latin typeface="+mn-lt"/>
                          <a:ea typeface="+mn-ea"/>
                          <a:cs typeface="+mn-cs"/>
                        </a:rPr>
                        <m:t>L</m:t>
                      </m:r>
                      <m:r>
                        <m:rPr>
                          <m:nor/>
                        </m:rPr>
                        <a:rPr lang="en-US" sz="1100" b="0" i="0" baseline="0">
                          <a:solidFill>
                            <a:schemeClr val="tx1"/>
                          </a:solidFill>
                          <a:effectLst/>
                          <a:latin typeface="+mn-lt"/>
                          <a:ea typeface="+mn-ea"/>
                          <a:cs typeface="+mn-cs"/>
                        </a:rPr>
                        <m:t>| </m:t>
                      </m:r>
                    </m:den>
                  </m:f>
                </m:oMath>
              </a14:m>
              <a:r>
                <a:rPr lang="en-US" sz="1100" b="0" i="0" u="none" strike="noStrike" baseline="0">
                  <a:solidFill>
                    <a:schemeClr val="tx1"/>
                  </a:solidFill>
                  <a:latin typeface="+mn-lt"/>
                  <a:ea typeface="+mn-ea"/>
                  <a:cs typeface="+mn-cs"/>
                </a:rPr>
                <a:t> - 1</a:t>
              </a:r>
            </a:p>
          </xdr:txBody>
        </xdr:sp>
      </mc:Choice>
      <mc:Fallback xmlns="">
        <xdr:sp macro="" textlink="">
          <xdr:nvSpPr>
            <xdr:cNvPr id="30" name="TextBox 29"/>
            <xdr:cNvSpPr txBox="1"/>
          </xdr:nvSpPr>
          <xdr:spPr>
            <a:xfrm>
              <a:off x="2924175" y="8794376"/>
              <a:ext cx="819150"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n-US" sz="1100" b="0" i="0" u="none" strike="noStrike" baseline="0" smtClean="0">
                  <a:solidFill>
                    <a:schemeClr val="tx1"/>
                  </a:solidFill>
                  <a:latin typeface="Cambria Math" panose="02040503050406030204" pitchFamily="18" charset="0"/>
                  <a:ea typeface="+mn-ea"/>
                  <a:cs typeface="+mn-cs"/>
                </a:rPr>
                <a:t>("F</a:t>
              </a:r>
              <a:r>
                <a:rPr lang="en-US" sz="1100" b="0" i="0" baseline="-25000">
                  <a:solidFill>
                    <a:schemeClr val="tx1"/>
                  </a:solidFill>
                  <a:effectLst/>
                  <a:latin typeface="+mn-lt"/>
                  <a:ea typeface="+mn-ea"/>
                  <a:cs typeface="+mn-cs"/>
                </a:rPr>
                <a:t>allow </a:t>
              </a:r>
              <a:r>
                <a:rPr lang="en-US" sz="1100" b="0" i="0" baseline="0">
                  <a:solidFill>
                    <a:schemeClr val="tx1"/>
                  </a:solidFill>
                  <a:effectLst/>
                  <a:latin typeface="+mn-lt"/>
                  <a:ea typeface="+mn-ea"/>
                  <a:cs typeface="+mn-cs"/>
                </a:rPr>
                <a:t>x </a:t>
              </a:r>
              <a:r>
                <a:rPr lang="en-US" sz="1100" b="0" i="0" baseline="0">
                  <a:solidFill>
                    <a:schemeClr val="tx1"/>
                  </a:solidFill>
                  <a:effectLst/>
                  <a:latin typeface="Cambria Math" panose="02040503050406030204" pitchFamily="18" charset="0"/>
                  <a:ea typeface="+mn-ea"/>
                  <a:cs typeface="+mn-cs"/>
                </a:rPr>
                <a:t>" 𝑇𝑅𝐹</a:t>
              </a:r>
              <a:r>
                <a:rPr lang="en-US" sz="1100" b="0" i="0" u="none" strike="noStrike" baseline="0" smtClean="0">
                  <a:solidFill>
                    <a:schemeClr val="tx1"/>
                  </a:solidFill>
                  <a:effectLst/>
                  <a:latin typeface="Cambria Math" panose="02040503050406030204" pitchFamily="18" charset="0"/>
                  <a:ea typeface="+mn-ea"/>
                  <a:cs typeface="+mn-cs"/>
                </a:rPr>
                <a:t>)/</a:t>
              </a:r>
              <a:r>
                <a:rPr lang="en-US" sz="1100" b="0" i="0" u="none" strike="noStrike" baseline="0">
                  <a:solidFill>
                    <a:schemeClr val="tx1"/>
                  </a:solidFill>
                  <a:effectLst/>
                  <a:latin typeface="+mn-lt"/>
                  <a:ea typeface="+mn-ea"/>
                  <a:cs typeface="+mn-cs"/>
                </a:rPr>
                <a:t>"</a:t>
              </a:r>
              <a:r>
                <a:rPr lang="en-US" sz="1100" b="0" i="0" baseline="0">
                  <a:solidFill>
                    <a:schemeClr val="tx1"/>
                  </a:solidFill>
                  <a:effectLst/>
                  <a:latin typeface="+mn-lt"/>
                  <a:ea typeface="+mn-ea"/>
                  <a:cs typeface="+mn-cs"/>
                </a:rPr>
                <a:t>|𝜎</a:t>
              </a:r>
              <a:r>
                <a:rPr lang="en-US" sz="1100" b="0" i="0" baseline="-25000">
                  <a:solidFill>
                    <a:schemeClr val="tx1"/>
                  </a:solidFill>
                  <a:effectLst/>
                  <a:latin typeface="+mn-lt"/>
                  <a:ea typeface="+mn-ea"/>
                  <a:cs typeface="+mn-cs"/>
                </a:rPr>
                <a:t>L</a:t>
              </a:r>
              <a:r>
                <a:rPr lang="en-US" sz="1100" b="0" i="0" baseline="0">
                  <a:solidFill>
                    <a:schemeClr val="tx1"/>
                  </a:solidFill>
                  <a:effectLst/>
                  <a:latin typeface="+mn-lt"/>
                  <a:ea typeface="+mn-ea"/>
                  <a:cs typeface="+mn-cs"/>
                </a:rPr>
                <a:t>| </a:t>
              </a:r>
              <a:r>
                <a:rPr lang="en-US" sz="1100" b="0" i="0" baseline="0">
                  <a:solidFill>
                    <a:schemeClr val="tx1"/>
                  </a:solidFill>
                  <a:effectLst/>
                  <a:latin typeface="Cambria Math" panose="02040503050406030204" pitchFamily="18" charset="0"/>
                  <a:ea typeface="+mn-ea"/>
                  <a:cs typeface="+mn-cs"/>
                </a:rPr>
                <a:t>" </a:t>
              </a:r>
              <a:r>
                <a:rPr lang="en-US" sz="1100" b="0" i="0" u="none" strike="noStrike" baseline="0" smtClean="0">
                  <a:solidFill>
                    <a:schemeClr val="tx1"/>
                  </a:solidFill>
                  <a:latin typeface="+mn-lt"/>
                  <a:ea typeface="+mn-ea"/>
                  <a:cs typeface="+mn-cs"/>
                </a:rPr>
                <a:t> - 1</a:t>
              </a:r>
            </a:p>
          </xdr:txBody>
        </xdr:sp>
      </mc:Fallback>
    </mc:AlternateContent>
    <xdr:clientData/>
  </xdr:oneCellAnchor>
  <xdr:oneCellAnchor>
    <xdr:from>
      <xdr:col>1</xdr:col>
      <xdr:colOff>590550</xdr:colOff>
      <xdr:row>45</xdr:row>
      <xdr:rowOff>85725</xdr:rowOff>
    </xdr:from>
    <xdr:ext cx="1490343" cy="172227"/>
    <mc:AlternateContent xmlns:mc="http://schemas.openxmlformats.org/markup-compatibility/2006" xmlns:a14="http://schemas.microsoft.com/office/drawing/2010/main">
      <mc:Choice Requires="a14">
        <xdr:sp macro="" textlink="">
          <xdr:nvSpPr>
            <xdr:cNvPr id="31" name="TextBox 30">
              <a:extLst>
                <a:ext uri="{FF2B5EF4-FFF2-40B4-BE49-F238E27FC236}">
                  <a16:creationId xmlns:a16="http://schemas.microsoft.com/office/drawing/2014/main" id="{00000000-0008-0000-0200-00001F000000}"/>
                </a:ext>
              </a:extLst>
            </xdr:cNvPr>
            <xdr:cNvSpPr txBox="1"/>
          </xdr:nvSpPr>
          <xdr:spPr>
            <a:xfrm>
              <a:off x="2628900" y="11649075"/>
              <a:ext cx="1490343"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en-US" sz="1100" b="0" i="0" u="none" strike="noStrike" baseline="0" smtClean="0">
                        <a:solidFill>
                          <a:schemeClr val="tx1"/>
                        </a:solidFill>
                        <a:latin typeface="+mn-lt"/>
                        <a:ea typeface="+mn-ea"/>
                        <a:cs typeface="+mn-cs"/>
                      </a:rPr>
                      <m:t>MAX</m:t>
                    </m:r>
                    <m:r>
                      <m:rPr>
                        <m:nor/>
                      </m:rPr>
                      <a:rPr lang="en-US" sz="1100" b="0" i="0" u="none" strike="noStrike" baseline="0" smtClean="0">
                        <a:solidFill>
                          <a:schemeClr val="tx1"/>
                        </a:solidFill>
                        <a:latin typeface="+mn-lt"/>
                        <a:ea typeface="+mn-ea"/>
                        <a:cs typeface="+mn-cs"/>
                      </a:rPr>
                      <m:t>(|</m:t>
                    </m:r>
                    <m:r>
                      <m:rPr>
                        <m:nor/>
                      </m:rPr>
                      <a:rPr lang="en-US" sz="1100" b="0" i="0" u="none" strike="noStrike" baseline="0" smtClean="0">
                        <a:solidFill>
                          <a:schemeClr val="tx1"/>
                        </a:solidFill>
                        <a:latin typeface="+mn-lt"/>
                        <a:ea typeface="+mn-ea"/>
                        <a:cs typeface="+mn-cs"/>
                      </a:rPr>
                      <m:t>𝜎</m:t>
                    </m:r>
                    <m:r>
                      <m:rPr>
                        <m:nor/>
                      </m:rPr>
                      <a:rPr lang="en-US" sz="1100" b="0" i="0" u="none" strike="noStrike" baseline="-25000" smtClean="0">
                        <a:solidFill>
                          <a:schemeClr val="tx1"/>
                        </a:solidFill>
                        <a:latin typeface="+mn-lt"/>
                        <a:ea typeface="+mn-ea"/>
                        <a:cs typeface="+mn-cs"/>
                      </a:rPr>
                      <m:t>𝑀𝐴𝑋</m:t>
                    </m:r>
                    <m:r>
                      <m:rPr>
                        <m:nor/>
                      </m:rPr>
                      <a:rPr lang="en-US" sz="1100" b="0" i="0" u="none" strike="noStrike" baseline="-25000" smtClean="0">
                        <a:solidFill>
                          <a:schemeClr val="tx1"/>
                        </a:solidFill>
                        <a:latin typeface="+mn-lt"/>
                        <a:ea typeface="+mn-ea"/>
                        <a:cs typeface="+mn-cs"/>
                      </a:rPr>
                      <m:t>,</m:t>
                    </m:r>
                    <m:r>
                      <m:rPr>
                        <m:nor/>
                      </m:rPr>
                      <a:rPr lang="en-US" sz="1100" b="0" i="0" u="none" strike="noStrike" baseline="-25000" smtClean="0">
                        <a:solidFill>
                          <a:schemeClr val="tx1"/>
                        </a:solidFill>
                        <a:latin typeface="+mn-lt"/>
                        <a:ea typeface="+mn-ea"/>
                        <a:cs typeface="+mn-cs"/>
                      </a:rPr>
                      <m:t>𝑃𝑟</m:t>
                    </m:r>
                    <m:r>
                      <m:rPr>
                        <m:nor/>
                      </m:rPr>
                      <a:rPr lang="en-US" sz="1100" b="0" i="0" u="none" strike="noStrike" baseline="0" smtClean="0">
                        <a:solidFill>
                          <a:schemeClr val="tx1"/>
                        </a:solidFill>
                        <a:latin typeface="+mn-lt"/>
                        <a:ea typeface="+mn-ea"/>
                        <a:cs typeface="+mn-cs"/>
                      </a:rPr>
                      <m:t>|,|</m:t>
                    </m:r>
                    <m:r>
                      <m:rPr>
                        <m:nor/>
                      </m:rPr>
                      <a:rPr lang="en-US" sz="1100" b="0" i="0" u="none" strike="noStrike" baseline="0" smtClean="0">
                        <a:solidFill>
                          <a:schemeClr val="tx1"/>
                        </a:solidFill>
                        <a:latin typeface="+mn-lt"/>
                        <a:ea typeface="+mn-ea"/>
                        <a:cs typeface="+mn-cs"/>
                      </a:rPr>
                      <m:t>𝜎</m:t>
                    </m:r>
                    <m:r>
                      <m:rPr>
                        <m:nor/>
                      </m:rPr>
                      <a:rPr lang="en-US" sz="1100" b="0" i="0" u="none" strike="noStrike" baseline="-25000" smtClean="0">
                        <a:solidFill>
                          <a:schemeClr val="tx1"/>
                        </a:solidFill>
                        <a:latin typeface="+mn-lt"/>
                        <a:ea typeface="+mn-ea"/>
                        <a:cs typeface="+mn-cs"/>
                      </a:rPr>
                      <m:t>𝑚𝑖𝑛</m:t>
                    </m:r>
                    <m:r>
                      <m:rPr>
                        <m:nor/>
                      </m:rPr>
                      <a:rPr lang="en-US" sz="1100" b="0" i="0" u="none" strike="noStrike" baseline="-25000" smtClean="0">
                        <a:solidFill>
                          <a:schemeClr val="tx1"/>
                        </a:solidFill>
                        <a:latin typeface="+mn-lt"/>
                        <a:ea typeface="+mn-ea"/>
                        <a:cs typeface="+mn-cs"/>
                      </a:rPr>
                      <m:t>,</m:t>
                    </m:r>
                    <m:r>
                      <m:rPr>
                        <m:nor/>
                      </m:rPr>
                      <a:rPr lang="en-US" sz="1100" b="0" i="0" u="none" strike="noStrike" baseline="-25000" smtClean="0">
                        <a:solidFill>
                          <a:schemeClr val="tx1"/>
                        </a:solidFill>
                        <a:latin typeface="+mn-lt"/>
                        <a:ea typeface="+mn-ea"/>
                        <a:cs typeface="+mn-cs"/>
                      </a:rPr>
                      <m:t>𝑃𝑟</m:t>
                    </m:r>
                    <m:r>
                      <m:rPr>
                        <m:nor/>
                      </m:rPr>
                      <a:rPr lang="en-US" sz="1100" b="0" i="0" u="none" strike="noStrike" baseline="0" smtClean="0">
                        <a:solidFill>
                          <a:schemeClr val="tx1"/>
                        </a:solidFill>
                        <a:latin typeface="+mn-lt"/>
                        <a:ea typeface="+mn-ea"/>
                        <a:cs typeface="+mn-cs"/>
                      </a:rPr>
                      <m:t>|) </m:t>
                    </m:r>
                  </m:oMath>
                </m:oMathPara>
              </a14:m>
              <a:endParaRPr lang="en-US" sz="1100" baseline="-25000"/>
            </a:p>
          </xdr:txBody>
        </xdr:sp>
      </mc:Choice>
      <mc:Fallback xmlns="">
        <xdr:sp macro="" textlink="">
          <xdr:nvSpPr>
            <xdr:cNvPr id="31" name="TextBox 30"/>
            <xdr:cNvSpPr txBox="1"/>
          </xdr:nvSpPr>
          <xdr:spPr>
            <a:xfrm>
              <a:off x="2628900" y="11649075"/>
              <a:ext cx="1490343"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u="none" strike="noStrike" baseline="0" smtClean="0">
                  <a:solidFill>
                    <a:schemeClr val="tx1"/>
                  </a:solidFill>
                  <a:latin typeface="Cambria Math" panose="02040503050406030204" pitchFamily="18" charset="0"/>
                  <a:ea typeface="+mn-ea"/>
                  <a:cs typeface="+mn-cs"/>
                </a:rPr>
                <a:t>"MAX(|𝜎</a:t>
              </a:r>
              <a:r>
                <a:rPr lang="en-US" sz="1100" b="0" i="0" u="none" strike="noStrike" baseline="-25000" smtClean="0">
                  <a:solidFill>
                    <a:schemeClr val="tx1"/>
                  </a:solidFill>
                  <a:latin typeface="Cambria Math" panose="02040503050406030204" pitchFamily="18" charset="0"/>
                  <a:ea typeface="+mn-ea"/>
                  <a:cs typeface="+mn-cs"/>
                </a:rPr>
                <a:t>𝑀𝐴𝑋,𝑃𝑟</a:t>
              </a:r>
              <a:r>
                <a:rPr lang="en-US" sz="1100" b="0" i="0" u="none" strike="noStrike" baseline="0" smtClean="0">
                  <a:solidFill>
                    <a:schemeClr val="tx1"/>
                  </a:solidFill>
                  <a:latin typeface="Cambria Math" panose="02040503050406030204" pitchFamily="18" charset="0"/>
                  <a:ea typeface="+mn-ea"/>
                  <a:cs typeface="+mn-cs"/>
                </a:rPr>
                <a:t>|,|𝜎</a:t>
              </a:r>
              <a:r>
                <a:rPr lang="en-US" sz="1100" b="0" i="0" u="none" strike="noStrike" baseline="-25000" smtClean="0">
                  <a:solidFill>
                    <a:schemeClr val="tx1"/>
                  </a:solidFill>
                  <a:latin typeface="Cambria Math" panose="02040503050406030204" pitchFamily="18" charset="0"/>
                  <a:ea typeface="+mn-ea"/>
                  <a:cs typeface="+mn-cs"/>
                </a:rPr>
                <a:t>𝑚𝑖𝑛,𝑃𝑟</a:t>
              </a:r>
              <a:r>
                <a:rPr lang="en-US" sz="1100" b="0" i="0" u="none" strike="noStrike" baseline="0" smtClean="0">
                  <a:solidFill>
                    <a:schemeClr val="tx1"/>
                  </a:solidFill>
                  <a:latin typeface="Cambria Math" panose="02040503050406030204" pitchFamily="18" charset="0"/>
                  <a:ea typeface="+mn-ea"/>
                  <a:cs typeface="+mn-cs"/>
                </a:rPr>
                <a:t>|) </a:t>
              </a:r>
              <a:r>
                <a:rPr lang="en-US" sz="1100" b="0" i="0" u="none" strike="noStrike" baseline="0" smtClean="0">
                  <a:solidFill>
                    <a:schemeClr val="tx1"/>
                  </a:solidFill>
                  <a:latin typeface="+mn-lt"/>
                  <a:ea typeface="+mn-ea"/>
                  <a:cs typeface="+mn-cs"/>
                </a:rPr>
                <a:t>"</a:t>
              </a:r>
              <a:endParaRPr lang="en-US" sz="1100" baseline="-25000"/>
            </a:p>
          </xdr:txBody>
        </xdr:sp>
      </mc:Fallback>
    </mc:AlternateContent>
    <xdr:clientData/>
  </xdr:oneCellAnchor>
  <xdr:oneCellAnchor>
    <xdr:from>
      <xdr:col>1</xdr:col>
      <xdr:colOff>1123950</xdr:colOff>
      <xdr:row>46</xdr:row>
      <xdr:rowOff>76200</xdr:rowOff>
    </xdr:from>
    <xdr:ext cx="509114" cy="192873"/>
    <mc:AlternateContent xmlns:mc="http://schemas.openxmlformats.org/markup-compatibility/2006" xmlns:a14="http://schemas.microsoft.com/office/drawing/2010/main">
      <mc:Choice Requires="a14">
        <xdr:sp macro="" textlink="">
          <xdr:nvSpPr>
            <xdr:cNvPr id="32" name="TextBox 31">
              <a:extLst>
                <a:ext uri="{FF2B5EF4-FFF2-40B4-BE49-F238E27FC236}">
                  <a16:creationId xmlns:a16="http://schemas.microsoft.com/office/drawing/2014/main" id="{00000000-0008-0000-0200-000020000000}"/>
                </a:ext>
              </a:extLst>
            </xdr:cNvPr>
            <xdr:cNvSpPr txBox="1"/>
          </xdr:nvSpPr>
          <xdr:spPr>
            <a:xfrm>
              <a:off x="3162300" y="12077700"/>
              <a:ext cx="509114" cy="1928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en-US" sz="1100" b="0" i="0" u="none" strike="noStrike" baseline="0" smtClean="0">
                        <a:solidFill>
                          <a:schemeClr val="tx1"/>
                        </a:solidFill>
                        <a:latin typeface="+mn-lt"/>
                        <a:ea typeface="+mn-ea"/>
                        <a:cs typeface="+mn-cs"/>
                      </a:rPr>
                      <m:t>𝜎</m:t>
                    </m:r>
                    <m:r>
                      <m:rPr>
                        <m:nor/>
                      </m:rPr>
                      <a:rPr lang="en-US" sz="1100" b="0" i="0" u="none" strike="noStrike" baseline="-25000" smtClean="0">
                        <a:solidFill>
                          <a:schemeClr val="tx1"/>
                        </a:solidFill>
                        <a:latin typeface="+mn-lt"/>
                        <a:ea typeface="+mn-ea"/>
                        <a:cs typeface="+mn-cs"/>
                      </a:rPr>
                      <m:t>𝑀𝐴𝑋</m:t>
                    </m:r>
                    <m:r>
                      <m:rPr>
                        <m:nor/>
                      </m:rPr>
                      <a:rPr lang="en-US" sz="1100" b="0" i="0" u="none" strike="noStrike" baseline="0" smtClean="0">
                        <a:solidFill>
                          <a:schemeClr val="tx1"/>
                        </a:solidFill>
                        <a:latin typeface="+mn-lt"/>
                        <a:ea typeface="+mn-ea"/>
                        <a:cs typeface="+mn-cs"/>
                      </a:rPr>
                      <m:t> ∗</m:t>
                    </m:r>
                    <m:r>
                      <m:rPr>
                        <m:nor/>
                      </m:rPr>
                      <a:rPr lang="en-US" sz="1100" b="0" i="0" u="none" strike="noStrike" baseline="0" smtClean="0">
                        <a:solidFill>
                          <a:schemeClr val="tx1"/>
                        </a:solidFill>
                        <a:latin typeface="+mn-lt"/>
                        <a:ea typeface="+mn-ea"/>
                        <a:cs typeface="+mn-cs"/>
                      </a:rPr>
                      <m:t>𝑡</m:t>
                    </m:r>
                    <m:r>
                      <m:rPr>
                        <m:nor/>
                      </m:rPr>
                      <a:rPr lang="en-US" sz="1100" b="0" i="0" u="none" strike="noStrike" baseline="0" smtClean="0">
                        <a:solidFill>
                          <a:schemeClr val="tx1"/>
                        </a:solidFill>
                        <a:latin typeface="+mn-lt"/>
                        <a:ea typeface="+mn-ea"/>
                        <a:cs typeface="+mn-cs"/>
                      </a:rPr>
                      <m:t> 	</m:t>
                    </m:r>
                  </m:oMath>
                </m:oMathPara>
              </a14:m>
              <a:endParaRPr lang="en-US" sz="1100" b="0" i="0" u="none" strike="noStrike" baseline="0">
                <a:solidFill>
                  <a:schemeClr val="tx1"/>
                </a:solidFill>
                <a:latin typeface="+mn-lt"/>
                <a:ea typeface="+mn-ea"/>
                <a:cs typeface="+mn-cs"/>
              </a:endParaRPr>
            </a:p>
          </xdr:txBody>
        </xdr:sp>
      </mc:Choice>
      <mc:Fallback xmlns="">
        <xdr:sp macro="" textlink="">
          <xdr:nvSpPr>
            <xdr:cNvPr id="32" name="TextBox 31"/>
            <xdr:cNvSpPr txBox="1"/>
          </xdr:nvSpPr>
          <xdr:spPr>
            <a:xfrm>
              <a:off x="3162300" y="12077700"/>
              <a:ext cx="509114" cy="1928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u="none" strike="noStrike" baseline="0" smtClean="0">
                  <a:solidFill>
                    <a:schemeClr val="tx1"/>
                  </a:solidFill>
                  <a:latin typeface="Cambria Math" panose="02040503050406030204" pitchFamily="18" charset="0"/>
                  <a:ea typeface="+mn-ea"/>
                  <a:cs typeface="+mn-cs"/>
                </a:rPr>
                <a:t>"𝜎</a:t>
              </a:r>
              <a:r>
                <a:rPr lang="en-US" sz="1100" b="0" i="0" u="none" strike="noStrike" baseline="-25000" smtClean="0">
                  <a:solidFill>
                    <a:schemeClr val="tx1"/>
                  </a:solidFill>
                  <a:latin typeface="Cambria Math" panose="02040503050406030204" pitchFamily="18" charset="0"/>
                  <a:ea typeface="+mn-ea"/>
                  <a:cs typeface="+mn-cs"/>
                </a:rPr>
                <a:t>𝑀𝐴𝑋</a:t>
              </a:r>
              <a:r>
                <a:rPr lang="en-US" sz="1100" b="0" i="0" u="none" strike="noStrike" baseline="0" smtClean="0">
                  <a:solidFill>
                    <a:schemeClr val="tx1"/>
                  </a:solidFill>
                  <a:latin typeface="Cambria Math" panose="02040503050406030204" pitchFamily="18" charset="0"/>
                  <a:ea typeface="+mn-ea"/>
                  <a:cs typeface="+mn-cs"/>
                </a:rPr>
                <a:t> ∗𝑡 	</a:t>
              </a:r>
              <a:r>
                <a:rPr lang="en-US" sz="1100" b="0" i="0" u="none" strike="noStrike" baseline="0" smtClean="0">
                  <a:solidFill>
                    <a:schemeClr val="tx1"/>
                  </a:solidFill>
                  <a:latin typeface="+mn-lt"/>
                  <a:ea typeface="+mn-ea"/>
                  <a:cs typeface="+mn-cs"/>
                </a:rPr>
                <a:t>"</a:t>
              </a:r>
            </a:p>
          </xdr:txBody>
        </xdr:sp>
      </mc:Fallback>
    </mc:AlternateContent>
    <xdr:clientData/>
  </xdr:oneCellAnchor>
  <xdr:oneCellAnchor>
    <xdr:from>
      <xdr:col>1</xdr:col>
      <xdr:colOff>561975</xdr:colOff>
      <xdr:row>44</xdr:row>
      <xdr:rowOff>19050</xdr:rowOff>
    </xdr:from>
    <xdr:ext cx="1676400" cy="390525"/>
    <mc:AlternateContent xmlns:mc="http://schemas.openxmlformats.org/markup-compatibility/2006" xmlns:a14="http://schemas.microsoft.com/office/drawing/2010/main">
      <mc:Choice Requires="a14">
        <xdr:sp macro="" textlink="">
          <xdr:nvSpPr>
            <xdr:cNvPr id="34" name="TextBox 33">
              <a:extLst>
                <a:ext uri="{FF2B5EF4-FFF2-40B4-BE49-F238E27FC236}">
                  <a16:creationId xmlns:a16="http://schemas.microsoft.com/office/drawing/2014/main" id="{00000000-0008-0000-0200-000022000000}"/>
                </a:ext>
              </a:extLst>
            </xdr:cNvPr>
            <xdr:cNvSpPr txBox="1"/>
          </xdr:nvSpPr>
          <xdr:spPr>
            <a:xfrm>
              <a:off x="2600325" y="11077575"/>
              <a:ext cx="1676400" cy="3905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f>
                      <m:fPr>
                        <m:ctrlPr>
                          <a:rPr lang="en-US" sz="1100" b="0" i="1" u="none" strike="noStrike" baseline="0" smtClean="0">
                            <a:solidFill>
                              <a:schemeClr val="tx1"/>
                            </a:solidFill>
                            <a:latin typeface="Cambria Math" panose="02040503050406030204" pitchFamily="18" charset="0"/>
                            <a:ea typeface="+mn-ea"/>
                            <a:cs typeface="+mn-cs"/>
                          </a:rPr>
                        </m:ctrlPr>
                      </m:fPr>
                      <m:num>
                        <m:r>
                          <m:rPr>
                            <m:sty m:val="p"/>
                          </m:rPr>
                          <a:rPr lang="en-US" sz="1100" b="0" i="0" u="none" strike="noStrike" baseline="0" smtClean="0">
                            <a:solidFill>
                              <a:schemeClr val="tx1"/>
                            </a:solidFill>
                            <a:latin typeface="Cambria Math" panose="02040503050406030204" pitchFamily="18" charset="0"/>
                            <a:ea typeface="+mn-ea"/>
                            <a:cs typeface="+mn-cs"/>
                          </a:rPr>
                          <m:t>max</m:t>
                        </m:r>
                        <m:r>
                          <a:rPr lang="en-US" sz="1100" b="0" i="1" u="none" strike="noStrike" baseline="0" smtClean="0">
                            <a:solidFill>
                              <a:schemeClr val="tx1"/>
                            </a:solidFill>
                            <a:latin typeface="Cambria Math" panose="02040503050406030204" pitchFamily="18" charset="0"/>
                            <a:ea typeface="+mn-ea"/>
                            <a:cs typeface="+mn-cs"/>
                          </a:rPr>
                          <m:t>⁡(</m:t>
                        </m:r>
                        <m:r>
                          <a:rPr lang="en-US" sz="1100" b="0" i="1" u="none" strike="noStrike" baseline="0" smtClean="0">
                            <a:solidFill>
                              <a:schemeClr val="tx1"/>
                            </a:solidFill>
                            <a:latin typeface="Cambria Math" panose="02040503050406030204" pitchFamily="18" charset="0"/>
                            <a:ea typeface="+mn-ea"/>
                            <a:cs typeface="+mn-cs"/>
                          </a:rPr>
                          <m:t>𝐿𝑛</m:t>
                        </m:r>
                        <m:r>
                          <a:rPr lang="en-US" sz="1100" b="0" i="1" u="none" strike="noStrike" baseline="0" smtClean="0">
                            <a:solidFill>
                              <a:schemeClr val="tx1"/>
                            </a:solidFill>
                            <a:latin typeface="Cambria Math" panose="02040503050406030204" pitchFamily="18" charset="0"/>
                            <a:ea typeface="+mn-ea"/>
                            <a:cs typeface="+mn-cs"/>
                          </a:rPr>
                          <m:t>, </m:t>
                        </m:r>
                        <m:r>
                          <a:rPr lang="en-US" sz="1100" b="0" i="1" u="none" strike="noStrike" baseline="0" smtClean="0">
                            <a:solidFill>
                              <a:schemeClr val="tx1"/>
                            </a:solidFill>
                            <a:latin typeface="Cambria Math" panose="02040503050406030204" pitchFamily="18" charset="0"/>
                            <a:ea typeface="+mn-ea"/>
                            <a:cs typeface="+mn-cs"/>
                          </a:rPr>
                          <m:t>𝑊𝑛</m:t>
                        </m:r>
                        <m:r>
                          <a:rPr lang="en-US" sz="1100" b="0" i="1" u="none" strike="noStrike" baseline="0" smtClean="0">
                            <a:solidFill>
                              <a:schemeClr val="tx1"/>
                            </a:solidFill>
                            <a:latin typeface="Cambria Math" panose="02040503050406030204" pitchFamily="18" charset="0"/>
                            <a:ea typeface="+mn-ea"/>
                            <a:cs typeface="+mn-cs"/>
                          </a:rPr>
                          <m:t>)</m:t>
                        </m:r>
                      </m:num>
                      <m:den>
                        <m:r>
                          <m:rPr>
                            <m:sty m:val="p"/>
                          </m:rPr>
                          <a:rPr lang="en-US" sz="1100" b="0" i="0" baseline="0">
                            <a:solidFill>
                              <a:schemeClr val="tx1"/>
                            </a:solidFill>
                            <a:effectLst/>
                            <a:latin typeface="Cambria Math" panose="02040503050406030204" pitchFamily="18" charset="0"/>
                            <a:ea typeface="+mn-ea"/>
                            <a:cs typeface="+mn-cs"/>
                          </a:rPr>
                          <m:t>min</m:t>
                        </m:r>
                        <m:r>
                          <a:rPr lang="en-US" sz="1100" b="0" i="1" baseline="0">
                            <a:solidFill>
                              <a:schemeClr val="tx1"/>
                            </a:solidFill>
                            <a:effectLst/>
                            <a:latin typeface="Cambria Math" panose="02040503050406030204" pitchFamily="18" charset="0"/>
                            <a:ea typeface="+mn-ea"/>
                            <a:cs typeface="+mn-cs"/>
                          </a:rPr>
                          <m:t>⁡(</m:t>
                        </m:r>
                        <m:r>
                          <a:rPr lang="en-US" sz="1100" b="0" i="1" baseline="0">
                            <a:solidFill>
                              <a:schemeClr val="tx1"/>
                            </a:solidFill>
                            <a:effectLst/>
                            <a:latin typeface="Cambria Math" panose="02040503050406030204" pitchFamily="18" charset="0"/>
                            <a:ea typeface="+mn-ea"/>
                            <a:cs typeface="+mn-cs"/>
                          </a:rPr>
                          <m:t>𝐿𝑛</m:t>
                        </m:r>
                        <m:r>
                          <a:rPr lang="en-US" sz="1100" b="0" i="1" baseline="0">
                            <a:solidFill>
                              <a:schemeClr val="tx1"/>
                            </a:solidFill>
                            <a:effectLst/>
                            <a:latin typeface="Cambria Math" panose="02040503050406030204" pitchFamily="18" charset="0"/>
                            <a:ea typeface="+mn-ea"/>
                            <a:cs typeface="+mn-cs"/>
                          </a:rPr>
                          <m:t>, </m:t>
                        </m:r>
                        <m:r>
                          <a:rPr lang="en-US" sz="1100" b="0" i="1" baseline="0">
                            <a:solidFill>
                              <a:schemeClr val="tx1"/>
                            </a:solidFill>
                            <a:effectLst/>
                            <a:latin typeface="Cambria Math" panose="02040503050406030204" pitchFamily="18" charset="0"/>
                            <a:ea typeface="+mn-ea"/>
                            <a:cs typeface="+mn-cs"/>
                          </a:rPr>
                          <m:t>𝑊𝑛</m:t>
                        </m:r>
                        <m:r>
                          <a:rPr lang="en-US" sz="1100" b="0" i="1" baseline="0">
                            <a:solidFill>
                              <a:schemeClr val="tx1"/>
                            </a:solidFill>
                            <a:effectLst/>
                            <a:latin typeface="Cambria Math" panose="02040503050406030204" pitchFamily="18" charset="0"/>
                            <a:ea typeface="+mn-ea"/>
                            <a:cs typeface="+mn-cs"/>
                          </a:rPr>
                          <m:t>)</m:t>
                        </m:r>
                      </m:den>
                    </m:f>
                  </m:oMath>
                </m:oMathPara>
              </a14:m>
              <a:endParaRPr lang="en-US" sz="1100" b="0" i="0" u="none" strike="noStrike" baseline="0">
                <a:solidFill>
                  <a:schemeClr val="tx1"/>
                </a:solidFill>
                <a:latin typeface="+mn-lt"/>
                <a:ea typeface="+mn-ea"/>
                <a:cs typeface="+mn-cs"/>
              </a:endParaRPr>
            </a:p>
          </xdr:txBody>
        </xdr:sp>
      </mc:Choice>
      <mc:Fallback xmlns="">
        <xdr:sp macro="" textlink="">
          <xdr:nvSpPr>
            <xdr:cNvPr id="34" name="TextBox 33"/>
            <xdr:cNvSpPr txBox="1"/>
          </xdr:nvSpPr>
          <xdr:spPr>
            <a:xfrm>
              <a:off x="2600325" y="11077575"/>
              <a:ext cx="1676400" cy="3905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n-US" sz="1100" b="0" i="0" u="none" strike="noStrike" baseline="0" smtClean="0">
                  <a:solidFill>
                    <a:schemeClr val="tx1"/>
                  </a:solidFill>
                  <a:latin typeface="Cambria Math" panose="02040503050406030204" pitchFamily="18" charset="0"/>
                  <a:ea typeface="+mn-ea"/>
                  <a:cs typeface="+mn-cs"/>
                </a:rPr>
                <a:t>(max⁡(𝐿𝑛, 𝑊𝑛))/(</a:t>
              </a:r>
              <a:r>
                <a:rPr lang="en-US" sz="1100" b="0" i="0" baseline="0">
                  <a:solidFill>
                    <a:schemeClr val="tx1"/>
                  </a:solidFill>
                  <a:effectLst/>
                  <a:latin typeface="Cambria Math" panose="02040503050406030204" pitchFamily="18" charset="0"/>
                  <a:ea typeface="+mn-ea"/>
                  <a:cs typeface="+mn-cs"/>
                </a:rPr>
                <a:t>min⁡(𝐿𝑛, 𝑊𝑛)</a:t>
              </a:r>
              <a:r>
                <a:rPr lang="en-US" sz="1100" b="0" i="0" u="none" strike="noStrike" baseline="0" smtClean="0">
                  <a:solidFill>
                    <a:schemeClr val="tx1"/>
                  </a:solidFill>
                  <a:effectLst/>
                  <a:latin typeface="Cambria Math" panose="02040503050406030204" pitchFamily="18" charset="0"/>
                  <a:ea typeface="+mn-ea"/>
                  <a:cs typeface="+mn-cs"/>
                </a:rPr>
                <a:t>)</a:t>
              </a:r>
              <a:endParaRPr lang="en-US" sz="1100" b="0" i="0" u="none" strike="noStrike" baseline="0" smtClean="0">
                <a:solidFill>
                  <a:schemeClr val="tx1"/>
                </a:solidFill>
                <a:latin typeface="+mn-lt"/>
                <a:ea typeface="+mn-ea"/>
                <a:cs typeface="+mn-cs"/>
              </a:endParaRPr>
            </a:p>
          </xdr:txBody>
        </xdr:sp>
      </mc:Fallback>
    </mc:AlternateContent>
    <xdr:clientData/>
  </xdr:oneCellAnchor>
  <xdr:oneCellAnchor>
    <xdr:from>
      <xdr:col>1</xdr:col>
      <xdr:colOff>772886</xdr:colOff>
      <xdr:row>48</xdr:row>
      <xdr:rowOff>36739</xdr:rowOff>
    </xdr:from>
    <xdr:ext cx="1371600" cy="552450"/>
    <mc:AlternateContent xmlns:mc="http://schemas.openxmlformats.org/markup-compatibility/2006" xmlns:a14="http://schemas.microsoft.com/office/drawing/2010/main">
      <mc:Choice Requires="a14">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2811236" y="13124089"/>
              <a:ext cx="1371600" cy="5524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f>
                    <m:fPr>
                      <m:ctrlPr>
                        <a:rPr lang="en-US" sz="1100" b="0" i="1" baseline="0">
                          <a:solidFill>
                            <a:schemeClr val="tx1"/>
                          </a:solidFill>
                          <a:effectLst/>
                          <a:latin typeface="Cambria Math" panose="02040503050406030204" pitchFamily="18" charset="0"/>
                          <a:ea typeface="+mn-ea"/>
                          <a:cs typeface="+mn-cs"/>
                        </a:rPr>
                      </m:ctrlPr>
                    </m:fPr>
                    <m:num>
                      <m:r>
                        <a:rPr lang="en-US" sz="1100" b="0" i="1" baseline="0">
                          <a:solidFill>
                            <a:schemeClr val="tx1"/>
                          </a:solidFill>
                          <a:effectLst/>
                          <a:latin typeface="Cambria Math" panose="02040503050406030204" pitchFamily="18" charset="0"/>
                          <a:ea typeface="+mn-ea"/>
                          <a:cs typeface="+mn-cs"/>
                        </a:rPr>
                        <m:t>3 </m:t>
                      </m:r>
                      <m:r>
                        <a:rPr lang="en-US" sz="1100" b="0" i="1" baseline="0">
                          <a:solidFill>
                            <a:schemeClr val="tx1"/>
                          </a:solidFill>
                          <a:effectLst/>
                          <a:latin typeface="Cambria Math" panose="02040503050406030204" pitchFamily="18" charset="0"/>
                          <a:ea typeface="+mn-ea"/>
                          <a:cs typeface="+mn-cs"/>
                        </a:rPr>
                        <m:t>𝑥</m:t>
                      </m:r>
                      <m:r>
                        <a:rPr lang="en-US" sz="1100" b="0" i="1" baseline="0">
                          <a:solidFill>
                            <a:schemeClr val="tx1"/>
                          </a:solidFill>
                          <a:effectLst/>
                          <a:latin typeface="Cambria Math" panose="02040503050406030204" pitchFamily="18" charset="0"/>
                          <a:ea typeface="+mn-ea"/>
                          <a:cs typeface="+mn-cs"/>
                        </a:rPr>
                        <m:t> </m:t>
                      </m:r>
                      <m:r>
                        <a:rPr lang="en-US" sz="1100" b="0" i="1" baseline="0">
                          <a:solidFill>
                            <a:schemeClr val="tx1"/>
                          </a:solidFill>
                          <a:effectLst/>
                          <a:latin typeface="Cambria Math" panose="02040503050406030204" pitchFamily="18" charset="0"/>
                          <a:ea typeface="+mn-ea"/>
                          <a:cs typeface="+mn-cs"/>
                        </a:rPr>
                        <m:t>𝑀𝑑𝑒𝑛𝑡</m:t>
                      </m:r>
                    </m:num>
                    <m:den>
                      <m:r>
                        <a:rPr lang="en-US" sz="1100" b="0" i="1" baseline="0">
                          <a:solidFill>
                            <a:schemeClr val="tx1"/>
                          </a:solidFill>
                          <a:effectLst/>
                          <a:latin typeface="Cambria Math" panose="02040503050406030204" pitchFamily="18" charset="0"/>
                          <a:ea typeface="+mn-ea"/>
                          <a:cs typeface="+mn-cs"/>
                        </a:rPr>
                        <m:t>𝑡</m:t>
                      </m:r>
                      <m:r>
                        <a:rPr lang="en-US" sz="1100" b="0" i="1" baseline="30000">
                          <a:solidFill>
                            <a:schemeClr val="tx1"/>
                          </a:solidFill>
                          <a:effectLst/>
                          <a:latin typeface="Cambria Math" panose="02040503050406030204" pitchFamily="18" charset="0"/>
                          <a:ea typeface="+mn-ea"/>
                          <a:cs typeface="+mn-cs"/>
                        </a:rPr>
                        <m:t>2</m:t>
                      </m:r>
                    </m:den>
                  </m:f>
                </m:oMath>
              </a14:m>
              <a:r>
                <a:rPr lang="en-US" sz="1100" b="0" i="0" u="none" strike="noStrike" baseline="0">
                  <a:solidFill>
                    <a:schemeClr val="tx1"/>
                  </a:solidFill>
                  <a:latin typeface="+mn-lt"/>
                  <a:ea typeface="+mn-ea"/>
                  <a:cs typeface="+mn-cs"/>
                </a:rPr>
                <a:t>,     if AR &gt;1.5</a:t>
              </a:r>
            </a:p>
            <a:p>
              <a:pPr marL="0" marR="0" lvl="0" indent="0"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f>
                    <m:fPr>
                      <m:ctrlPr>
                        <a:rPr lang="en-US" sz="1100" b="0" i="1" baseline="0">
                          <a:solidFill>
                            <a:schemeClr val="tx1"/>
                          </a:solidFill>
                          <a:effectLst/>
                          <a:latin typeface="Cambria Math" panose="02040503050406030204" pitchFamily="18" charset="0"/>
                          <a:ea typeface="+mn-ea"/>
                          <a:cs typeface="+mn-cs"/>
                        </a:rPr>
                      </m:ctrlPr>
                    </m:fPr>
                    <m:num>
                      <m:r>
                        <a:rPr lang="en-US" sz="1100" b="0" i="1" baseline="0">
                          <a:solidFill>
                            <a:schemeClr val="tx1"/>
                          </a:solidFill>
                          <a:effectLst/>
                          <a:latin typeface="Cambria Math" panose="02040503050406030204" pitchFamily="18" charset="0"/>
                          <a:ea typeface="+mn-ea"/>
                          <a:cs typeface="+mn-cs"/>
                        </a:rPr>
                        <m:t>3.6 </m:t>
                      </m:r>
                      <m:r>
                        <a:rPr lang="en-US" sz="1100" b="0" i="1" baseline="0">
                          <a:solidFill>
                            <a:schemeClr val="tx1"/>
                          </a:solidFill>
                          <a:effectLst/>
                          <a:latin typeface="Cambria Math" panose="02040503050406030204" pitchFamily="18" charset="0"/>
                          <a:ea typeface="+mn-ea"/>
                          <a:cs typeface="+mn-cs"/>
                        </a:rPr>
                        <m:t>𝑥</m:t>
                      </m:r>
                      <m:r>
                        <a:rPr lang="en-US" sz="1100" b="0" i="1" baseline="0">
                          <a:solidFill>
                            <a:schemeClr val="tx1"/>
                          </a:solidFill>
                          <a:effectLst/>
                          <a:latin typeface="Cambria Math" panose="02040503050406030204" pitchFamily="18" charset="0"/>
                          <a:ea typeface="+mn-ea"/>
                          <a:cs typeface="+mn-cs"/>
                        </a:rPr>
                        <m:t> </m:t>
                      </m:r>
                      <m:r>
                        <a:rPr lang="en-US" sz="1100" b="0" i="1" baseline="0">
                          <a:solidFill>
                            <a:schemeClr val="tx1"/>
                          </a:solidFill>
                          <a:effectLst/>
                          <a:latin typeface="Cambria Math" panose="02040503050406030204" pitchFamily="18" charset="0"/>
                          <a:ea typeface="+mn-ea"/>
                          <a:cs typeface="+mn-cs"/>
                        </a:rPr>
                        <m:t>𝑀𝑑𝑒𝑛𝑡</m:t>
                      </m:r>
                    </m:num>
                    <m:den>
                      <m:r>
                        <a:rPr lang="en-US" sz="1100" b="0" i="1" baseline="0">
                          <a:solidFill>
                            <a:schemeClr val="tx1"/>
                          </a:solidFill>
                          <a:effectLst/>
                          <a:latin typeface="Cambria Math" panose="02040503050406030204" pitchFamily="18" charset="0"/>
                          <a:ea typeface="+mn-ea"/>
                          <a:cs typeface="+mn-cs"/>
                        </a:rPr>
                        <m:t>𝑡</m:t>
                      </m:r>
                      <m:r>
                        <a:rPr lang="en-US" sz="1100" b="0" i="1" baseline="30000">
                          <a:solidFill>
                            <a:schemeClr val="tx1"/>
                          </a:solidFill>
                          <a:effectLst/>
                          <a:latin typeface="Cambria Math" panose="02040503050406030204" pitchFamily="18" charset="0"/>
                          <a:ea typeface="+mn-ea"/>
                          <a:cs typeface="+mn-cs"/>
                        </a:rPr>
                        <m:t>2</m:t>
                      </m:r>
                    </m:den>
                  </m:f>
                </m:oMath>
              </a14:m>
              <a:r>
                <a:rPr lang="en-US" sz="1100" b="0" i="0" baseline="0">
                  <a:solidFill>
                    <a:schemeClr val="tx1"/>
                  </a:solidFill>
                  <a:effectLst/>
                  <a:latin typeface="+mn-lt"/>
                  <a:ea typeface="+mn-ea"/>
                  <a:cs typeface="+mn-cs"/>
                </a:rPr>
                <a:t>,     if AR ≤1.5</a:t>
              </a:r>
              <a:endParaRPr lang="en-US">
                <a:effectLst/>
              </a:endParaRPr>
            </a:p>
          </xdr:txBody>
        </xdr:sp>
      </mc:Choice>
      <mc:Fallback xmlns="">
        <xdr:sp macro="" textlink="">
          <xdr:nvSpPr>
            <xdr:cNvPr id="35" name="TextBox 34"/>
            <xdr:cNvSpPr txBox="1"/>
          </xdr:nvSpPr>
          <xdr:spPr>
            <a:xfrm>
              <a:off x="2811236" y="13124089"/>
              <a:ext cx="1371600" cy="5524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tx1"/>
                  </a:solidFill>
                  <a:effectLst/>
                  <a:latin typeface="Cambria Math" panose="02040503050406030204" pitchFamily="18" charset="0"/>
                  <a:ea typeface="+mn-ea"/>
                  <a:cs typeface="+mn-cs"/>
                </a:rPr>
                <a:t>(3 𝑥 𝑀𝑑𝑒𝑛𝑡)/𝑡</a:t>
              </a:r>
              <a:r>
                <a:rPr lang="en-US" sz="1100" b="0" i="0" baseline="30000">
                  <a:solidFill>
                    <a:schemeClr val="tx1"/>
                  </a:solidFill>
                  <a:effectLst/>
                  <a:latin typeface="Cambria Math" panose="02040503050406030204" pitchFamily="18" charset="0"/>
                  <a:ea typeface="+mn-ea"/>
                  <a:cs typeface="+mn-cs"/>
                </a:rPr>
                <a:t>2</a:t>
              </a:r>
              <a:r>
                <a:rPr lang="en-US" sz="1100" b="0" i="0" u="none" strike="noStrike" baseline="0" smtClean="0">
                  <a:solidFill>
                    <a:schemeClr val="tx1"/>
                  </a:solidFill>
                  <a:latin typeface="+mn-lt"/>
                  <a:ea typeface="+mn-ea"/>
                  <a:cs typeface="+mn-cs"/>
                </a:rPr>
                <a:t>,     if AR &gt;1.5</a:t>
              </a: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tx1"/>
                  </a:solidFill>
                  <a:effectLst/>
                  <a:latin typeface="Cambria Math" panose="02040503050406030204" pitchFamily="18" charset="0"/>
                  <a:ea typeface="+mn-ea"/>
                  <a:cs typeface="+mn-cs"/>
                </a:rPr>
                <a:t>(3.6 𝑥 𝑀𝑑𝑒𝑛𝑡)/𝑡</a:t>
              </a:r>
              <a:r>
                <a:rPr lang="en-US" sz="1100" b="0" i="0" baseline="30000">
                  <a:solidFill>
                    <a:schemeClr val="tx1"/>
                  </a:solidFill>
                  <a:effectLst/>
                  <a:latin typeface="Cambria Math" panose="02040503050406030204" pitchFamily="18" charset="0"/>
                  <a:ea typeface="+mn-ea"/>
                  <a:cs typeface="+mn-cs"/>
                </a:rPr>
                <a:t>2</a:t>
              </a:r>
              <a:r>
                <a:rPr lang="en-US" sz="1100" b="0" i="0" baseline="0">
                  <a:solidFill>
                    <a:schemeClr val="tx1"/>
                  </a:solidFill>
                  <a:effectLst/>
                  <a:latin typeface="+mn-lt"/>
                  <a:ea typeface="+mn-ea"/>
                  <a:cs typeface="+mn-cs"/>
                </a:rPr>
                <a:t>,     if AR ≤1.5</a:t>
              </a:r>
              <a:endParaRPr lang="en-US">
                <a:effectLst/>
              </a:endParaRPr>
            </a:p>
          </xdr:txBody>
        </xdr:sp>
      </mc:Fallback>
    </mc:AlternateContent>
    <xdr:clientData/>
  </xdr:oneCellAnchor>
  <xdr:oneCellAnchor>
    <xdr:from>
      <xdr:col>1</xdr:col>
      <xdr:colOff>1095375</xdr:colOff>
      <xdr:row>49</xdr:row>
      <xdr:rowOff>114300</xdr:rowOff>
    </xdr:from>
    <xdr:ext cx="819150" cy="371475"/>
    <mc:AlternateContent xmlns:mc="http://schemas.openxmlformats.org/markup-compatibility/2006" xmlns:a14="http://schemas.microsoft.com/office/drawing/2010/main">
      <mc:Choice Requires="a14">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133725" y="13801725"/>
              <a:ext cx="819150"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f>
                    <m:fPr>
                      <m:ctrlPr>
                        <a:rPr lang="en-US" sz="1100" b="0" i="1" u="none" strike="noStrike" baseline="0" smtClean="0">
                          <a:solidFill>
                            <a:schemeClr val="tx1"/>
                          </a:solidFill>
                          <a:latin typeface="Cambria Math" panose="02040503050406030204" pitchFamily="18" charset="0"/>
                          <a:ea typeface="+mn-ea"/>
                          <a:cs typeface="+mn-cs"/>
                        </a:rPr>
                      </m:ctrlPr>
                    </m:fPr>
                    <m:num>
                      <m:r>
                        <m:rPr>
                          <m:nor/>
                        </m:rPr>
                        <a:rPr lang="en-US" sz="1100" b="0" i="1" u="none" strike="noStrike" baseline="0" smtClean="0">
                          <a:solidFill>
                            <a:schemeClr val="tx1"/>
                          </a:solidFill>
                          <a:latin typeface="Cambria Math" panose="02040503050406030204" pitchFamily="18" charset="0"/>
                          <a:ea typeface="+mn-ea"/>
                          <a:cs typeface="+mn-cs"/>
                        </a:rPr>
                        <m:t>F</m:t>
                      </m:r>
                      <m:r>
                        <m:rPr>
                          <m:nor/>
                        </m:rPr>
                        <a:rPr lang="en-US" sz="1100" b="0" i="0" baseline="-25000">
                          <a:solidFill>
                            <a:schemeClr val="tx1"/>
                          </a:solidFill>
                          <a:effectLst/>
                          <a:latin typeface="+mn-lt"/>
                          <a:ea typeface="+mn-ea"/>
                          <a:cs typeface="+mn-cs"/>
                        </a:rPr>
                        <m:t>allow</m:t>
                      </m:r>
                      <m:r>
                        <m:rPr>
                          <m:nor/>
                        </m:rPr>
                        <a:rPr lang="en-US" sz="1100" b="0" i="0" baseline="-25000">
                          <a:solidFill>
                            <a:schemeClr val="tx1"/>
                          </a:solidFill>
                          <a:effectLst/>
                          <a:latin typeface="+mn-lt"/>
                          <a:ea typeface="+mn-ea"/>
                          <a:cs typeface="+mn-cs"/>
                        </a:rPr>
                        <m:t> </m:t>
                      </m:r>
                      <m:r>
                        <m:rPr>
                          <m:nor/>
                        </m:rPr>
                        <a:rPr lang="en-US" sz="1100" b="0" i="0" baseline="0">
                          <a:solidFill>
                            <a:schemeClr val="tx1"/>
                          </a:solidFill>
                          <a:effectLst/>
                          <a:latin typeface="+mn-lt"/>
                          <a:ea typeface="+mn-ea"/>
                          <a:cs typeface="+mn-cs"/>
                        </a:rPr>
                        <m:t>x</m:t>
                      </m:r>
                      <m:r>
                        <m:rPr>
                          <m:nor/>
                        </m:rPr>
                        <a:rPr lang="en-US" sz="1100" b="0" i="0" baseline="0">
                          <a:solidFill>
                            <a:schemeClr val="tx1"/>
                          </a:solidFill>
                          <a:effectLst/>
                          <a:latin typeface="+mn-lt"/>
                          <a:ea typeface="+mn-ea"/>
                          <a:cs typeface="+mn-cs"/>
                        </a:rPr>
                        <m:t> </m:t>
                      </m:r>
                      <m:r>
                        <a:rPr lang="en-US" sz="1100" b="0" i="1" baseline="0">
                          <a:solidFill>
                            <a:schemeClr val="tx1"/>
                          </a:solidFill>
                          <a:effectLst/>
                          <a:latin typeface="Cambria Math" panose="02040503050406030204" pitchFamily="18" charset="0"/>
                          <a:ea typeface="+mn-ea"/>
                          <a:cs typeface="+mn-cs"/>
                        </a:rPr>
                        <m:t>𝑇𝑅𝐹</m:t>
                      </m:r>
                    </m:num>
                    <m:den>
                      <m:r>
                        <m:rPr>
                          <m:nor/>
                        </m:rPr>
                        <a:rPr lang="en-US" sz="1100" b="0" i="0" baseline="0">
                          <a:solidFill>
                            <a:schemeClr val="tx1"/>
                          </a:solidFill>
                          <a:effectLst/>
                          <a:latin typeface="+mn-lt"/>
                          <a:ea typeface="+mn-ea"/>
                          <a:cs typeface="+mn-cs"/>
                        </a:rPr>
                        <m:t>|</m:t>
                      </m:r>
                      <m:r>
                        <m:rPr>
                          <m:nor/>
                        </m:rPr>
                        <a:rPr lang="en-US" sz="1100" b="0" i="0" baseline="0">
                          <a:solidFill>
                            <a:schemeClr val="tx1"/>
                          </a:solidFill>
                          <a:effectLst/>
                          <a:latin typeface="+mn-lt"/>
                          <a:ea typeface="+mn-ea"/>
                          <a:cs typeface="+mn-cs"/>
                        </a:rPr>
                        <m:t>𝜎</m:t>
                      </m:r>
                      <m:r>
                        <m:rPr>
                          <m:nor/>
                        </m:rPr>
                        <a:rPr lang="en-US" sz="1100" b="0" i="0" baseline="-25000">
                          <a:solidFill>
                            <a:schemeClr val="tx1"/>
                          </a:solidFill>
                          <a:effectLst/>
                          <a:latin typeface="+mn-lt"/>
                          <a:ea typeface="+mn-ea"/>
                          <a:cs typeface="+mn-cs"/>
                        </a:rPr>
                        <m:t>NL</m:t>
                      </m:r>
                      <m:r>
                        <m:rPr>
                          <m:nor/>
                        </m:rPr>
                        <a:rPr lang="en-US" sz="1100" b="0" i="0" baseline="0">
                          <a:solidFill>
                            <a:schemeClr val="tx1"/>
                          </a:solidFill>
                          <a:effectLst/>
                          <a:latin typeface="+mn-lt"/>
                          <a:ea typeface="+mn-ea"/>
                          <a:cs typeface="+mn-cs"/>
                        </a:rPr>
                        <m:t>| </m:t>
                      </m:r>
                    </m:den>
                  </m:f>
                </m:oMath>
              </a14:m>
              <a:r>
                <a:rPr lang="en-US" sz="1100" b="0" i="0" u="none" strike="noStrike" baseline="0">
                  <a:solidFill>
                    <a:schemeClr val="tx1"/>
                  </a:solidFill>
                  <a:latin typeface="+mn-lt"/>
                  <a:ea typeface="+mn-ea"/>
                  <a:cs typeface="+mn-cs"/>
                </a:rPr>
                <a:t> - 1</a:t>
              </a:r>
            </a:p>
          </xdr:txBody>
        </xdr:sp>
      </mc:Choice>
      <mc:Fallback xmlns="">
        <xdr:sp macro="" textlink="">
          <xdr:nvSpPr>
            <xdr:cNvPr id="37" name="TextBox 36"/>
            <xdr:cNvSpPr txBox="1"/>
          </xdr:nvSpPr>
          <xdr:spPr>
            <a:xfrm>
              <a:off x="3133725" y="13801725"/>
              <a:ext cx="819150"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n-US" sz="1100" b="0" i="0" u="none" strike="noStrike" baseline="0" smtClean="0">
                  <a:solidFill>
                    <a:schemeClr val="tx1"/>
                  </a:solidFill>
                  <a:latin typeface="Cambria Math" panose="02040503050406030204" pitchFamily="18" charset="0"/>
                  <a:ea typeface="+mn-ea"/>
                  <a:cs typeface="+mn-cs"/>
                </a:rPr>
                <a:t>("F</a:t>
              </a:r>
              <a:r>
                <a:rPr lang="en-US" sz="1100" b="0" i="0" baseline="-25000">
                  <a:solidFill>
                    <a:schemeClr val="tx1"/>
                  </a:solidFill>
                  <a:effectLst/>
                  <a:latin typeface="+mn-lt"/>
                  <a:ea typeface="+mn-ea"/>
                  <a:cs typeface="+mn-cs"/>
                </a:rPr>
                <a:t>allow </a:t>
              </a:r>
              <a:r>
                <a:rPr lang="en-US" sz="1100" b="0" i="0" baseline="0">
                  <a:solidFill>
                    <a:schemeClr val="tx1"/>
                  </a:solidFill>
                  <a:effectLst/>
                  <a:latin typeface="+mn-lt"/>
                  <a:ea typeface="+mn-ea"/>
                  <a:cs typeface="+mn-cs"/>
                </a:rPr>
                <a:t>x </a:t>
              </a:r>
              <a:r>
                <a:rPr lang="en-US" sz="1100" b="0" i="0" baseline="0">
                  <a:solidFill>
                    <a:schemeClr val="tx1"/>
                  </a:solidFill>
                  <a:effectLst/>
                  <a:latin typeface="Cambria Math" panose="02040503050406030204" pitchFamily="18" charset="0"/>
                  <a:ea typeface="+mn-ea"/>
                  <a:cs typeface="+mn-cs"/>
                </a:rPr>
                <a:t>" 𝑇𝑅𝐹</a:t>
              </a:r>
              <a:r>
                <a:rPr lang="en-US" sz="1100" b="0" i="0" u="none" strike="noStrike" baseline="0" smtClean="0">
                  <a:solidFill>
                    <a:schemeClr val="tx1"/>
                  </a:solidFill>
                  <a:effectLst/>
                  <a:latin typeface="Cambria Math" panose="02040503050406030204" pitchFamily="18" charset="0"/>
                  <a:ea typeface="+mn-ea"/>
                  <a:cs typeface="+mn-cs"/>
                </a:rPr>
                <a:t>)/</a:t>
              </a:r>
              <a:r>
                <a:rPr lang="en-US" sz="1100" b="0" i="0" u="none" strike="noStrike" baseline="0">
                  <a:solidFill>
                    <a:schemeClr val="tx1"/>
                  </a:solidFill>
                  <a:effectLst/>
                  <a:latin typeface="+mn-lt"/>
                  <a:ea typeface="+mn-ea"/>
                  <a:cs typeface="+mn-cs"/>
                </a:rPr>
                <a:t>"</a:t>
              </a:r>
              <a:r>
                <a:rPr lang="en-US" sz="1100" b="0" i="0" baseline="0">
                  <a:solidFill>
                    <a:schemeClr val="tx1"/>
                  </a:solidFill>
                  <a:effectLst/>
                  <a:latin typeface="+mn-lt"/>
                  <a:ea typeface="+mn-ea"/>
                  <a:cs typeface="+mn-cs"/>
                </a:rPr>
                <a:t>|𝜎</a:t>
              </a:r>
              <a:r>
                <a:rPr lang="en-US" sz="1100" b="0" i="0" baseline="-25000">
                  <a:solidFill>
                    <a:schemeClr val="tx1"/>
                  </a:solidFill>
                  <a:effectLst/>
                  <a:latin typeface="+mn-lt"/>
                  <a:ea typeface="+mn-ea"/>
                  <a:cs typeface="+mn-cs"/>
                </a:rPr>
                <a:t>NL</a:t>
              </a:r>
              <a:r>
                <a:rPr lang="en-US" sz="1100" b="0" i="0" baseline="0">
                  <a:solidFill>
                    <a:schemeClr val="tx1"/>
                  </a:solidFill>
                  <a:effectLst/>
                  <a:latin typeface="+mn-lt"/>
                  <a:ea typeface="+mn-ea"/>
                  <a:cs typeface="+mn-cs"/>
                </a:rPr>
                <a:t>| </a:t>
              </a:r>
              <a:r>
                <a:rPr lang="en-US" sz="1100" b="0" i="0" baseline="0">
                  <a:solidFill>
                    <a:schemeClr val="tx1"/>
                  </a:solidFill>
                  <a:effectLst/>
                  <a:latin typeface="Cambria Math" panose="02040503050406030204" pitchFamily="18" charset="0"/>
                  <a:ea typeface="+mn-ea"/>
                  <a:cs typeface="+mn-cs"/>
                </a:rPr>
                <a:t>" </a:t>
              </a:r>
              <a:r>
                <a:rPr lang="en-US" sz="1100" b="0" i="0" u="none" strike="noStrike" baseline="0" smtClean="0">
                  <a:solidFill>
                    <a:schemeClr val="tx1"/>
                  </a:solidFill>
                  <a:latin typeface="+mn-lt"/>
                  <a:ea typeface="+mn-ea"/>
                  <a:cs typeface="+mn-cs"/>
                </a:rPr>
                <a:t> - 1</a:t>
              </a:r>
            </a:p>
          </xdr:txBody>
        </xdr:sp>
      </mc:Fallback>
    </mc:AlternateContent>
    <xdr:clientData/>
  </xdr:oneCellAnchor>
  <xdr:oneCellAnchor>
    <xdr:from>
      <xdr:col>1</xdr:col>
      <xdr:colOff>542926</xdr:colOff>
      <xdr:row>60</xdr:row>
      <xdr:rowOff>19050</xdr:rowOff>
    </xdr:from>
    <xdr:ext cx="2000249" cy="552450"/>
    <mc:AlternateContent xmlns:mc="http://schemas.openxmlformats.org/markup-compatibility/2006" xmlns:a14="http://schemas.microsoft.com/office/drawing/2010/main">
      <mc:Choice Requires="a14">
        <xdr:sp macro="" textlink="">
          <xdr:nvSpPr>
            <xdr:cNvPr id="48" name="TextBox 47">
              <a:extLst>
                <a:ext uri="{FF2B5EF4-FFF2-40B4-BE49-F238E27FC236}">
                  <a16:creationId xmlns:a16="http://schemas.microsoft.com/office/drawing/2014/main" id="{00000000-0008-0000-0200-000030000000}"/>
                </a:ext>
              </a:extLst>
            </xdr:cNvPr>
            <xdr:cNvSpPr txBox="1"/>
          </xdr:nvSpPr>
          <xdr:spPr>
            <a:xfrm>
              <a:off x="2438401" y="17259300"/>
              <a:ext cx="2000249" cy="5524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tx1"/>
                  </a:solidFill>
                  <a:effectLst/>
                  <a:latin typeface="+mn-lt"/>
                  <a:ea typeface="+mn-ea"/>
                  <a:cs typeface="+mn-cs"/>
                </a:rPr>
                <a:t>1.25 x </a:t>
              </a:r>
              <a14:m>
                <m:oMath xmlns:m="http://schemas.openxmlformats.org/officeDocument/2006/math">
                  <m:r>
                    <a:rPr lang="en-US" sz="1100" i="1">
                      <a:solidFill>
                        <a:schemeClr val="tx1"/>
                      </a:solidFill>
                      <a:effectLst/>
                      <a:latin typeface="Cambria Math" panose="02040503050406030204" pitchFamily="18" charset="0"/>
                      <a:ea typeface="+mn-ea"/>
                      <a:cs typeface="+mn-cs"/>
                    </a:rPr>
                    <m:t>𝜎</m:t>
                  </m:r>
                </m:oMath>
              </a14:m>
              <a:r>
                <a:rPr lang="en-US" sz="1100" baseline="-25000">
                  <a:solidFill>
                    <a:schemeClr val="tx1"/>
                  </a:solidFill>
                  <a:effectLst/>
                  <a:latin typeface="+mn-lt"/>
                  <a:ea typeface="+mn-ea"/>
                  <a:cs typeface="+mn-cs"/>
                </a:rPr>
                <a:t>MAX </a:t>
              </a:r>
              <a:r>
                <a:rPr lang="en-US" sz="1100" b="0" i="0" u="none" strike="noStrike" baseline="0">
                  <a:solidFill>
                    <a:schemeClr val="tx1"/>
                  </a:solidFill>
                  <a:latin typeface="+mn-lt"/>
                  <a:ea typeface="+mn-ea"/>
                  <a:cs typeface="+mn-cs"/>
                </a:rPr>
                <a:t>,     	if e</a:t>
              </a:r>
              <a:r>
                <a:rPr lang="en-US" sz="1100" b="0" i="0" u="none" strike="noStrike" baseline="-25000">
                  <a:solidFill>
                    <a:schemeClr val="tx1"/>
                  </a:solidFill>
                  <a:latin typeface="+mn-lt"/>
                  <a:ea typeface="+mn-ea"/>
                  <a:cs typeface="+mn-cs"/>
                </a:rPr>
                <a:t>m</a:t>
              </a:r>
              <a:r>
                <a:rPr lang="en-US" sz="1100" b="0" i="0" u="none" strike="noStrike" baseline="0">
                  <a:solidFill>
                    <a:schemeClr val="tx1"/>
                  </a:solidFill>
                  <a:latin typeface="+mn-lt"/>
                  <a:ea typeface="+mn-ea"/>
                  <a:cs typeface="+mn-cs"/>
                </a:rPr>
                <a:t>/D ≥ 2</a:t>
              </a: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tx1"/>
                  </a:solidFill>
                  <a:effectLst/>
                  <a:latin typeface="+mn-lt"/>
                  <a:ea typeface="+mn-ea"/>
                  <a:cs typeface="+mn-cs"/>
                </a:rPr>
                <a:t>𝜎</a:t>
              </a:r>
              <a:r>
                <a:rPr lang="en-US" sz="1100" b="0" i="0" baseline="-25000">
                  <a:solidFill>
                    <a:schemeClr val="tx1"/>
                  </a:solidFill>
                  <a:effectLst/>
                  <a:latin typeface="+mn-lt"/>
                  <a:ea typeface="+mn-ea"/>
                  <a:cs typeface="+mn-cs"/>
                </a:rPr>
                <a:t>𝑀𝐴𝑋 </a:t>
              </a:r>
              <a:r>
                <a:rPr lang="en-US" sz="1100" b="0" i="0" baseline="0">
                  <a:solidFill>
                    <a:schemeClr val="tx1"/>
                  </a:solidFill>
                  <a:effectLst/>
                  <a:latin typeface="+mn-lt"/>
                  <a:ea typeface="+mn-ea"/>
                  <a:cs typeface="+mn-cs"/>
                </a:rPr>
                <a:t>+ </a:t>
              </a:r>
              <a14:m>
                <m:oMath xmlns:m="http://schemas.openxmlformats.org/officeDocument/2006/math">
                  <m:f>
                    <m:fPr>
                      <m:ctrlPr>
                        <a:rPr lang="en-US" sz="1100" b="0" i="1" baseline="0">
                          <a:solidFill>
                            <a:schemeClr val="tx1"/>
                          </a:solidFill>
                          <a:effectLst/>
                          <a:latin typeface="Cambria Math" panose="02040503050406030204" pitchFamily="18" charset="0"/>
                          <a:ea typeface="+mn-ea"/>
                          <a:cs typeface="+mn-cs"/>
                        </a:rPr>
                      </m:ctrlPr>
                    </m:fPr>
                    <m:num>
                      <m:r>
                        <a:rPr lang="en-US" sz="1100" b="0" i="1" baseline="0">
                          <a:solidFill>
                            <a:schemeClr val="tx1"/>
                          </a:solidFill>
                          <a:effectLst/>
                          <a:latin typeface="Cambria Math" panose="02040503050406030204" pitchFamily="18" charset="0"/>
                          <a:ea typeface="+mn-ea"/>
                          <a:cs typeface="+mn-cs"/>
                        </a:rPr>
                        <m:t>1.8 </m:t>
                      </m:r>
                      <m:r>
                        <a:rPr lang="en-US" sz="1100" b="0" i="1" baseline="0">
                          <a:solidFill>
                            <a:schemeClr val="tx1"/>
                          </a:solidFill>
                          <a:effectLst/>
                          <a:latin typeface="Cambria Math" panose="02040503050406030204" pitchFamily="18" charset="0"/>
                          <a:ea typeface="+mn-ea"/>
                          <a:cs typeface="+mn-cs"/>
                        </a:rPr>
                        <m:t>𝑥</m:t>
                      </m:r>
                      <m:r>
                        <a:rPr lang="en-US" sz="1100" b="0" i="1" baseline="0">
                          <a:solidFill>
                            <a:schemeClr val="tx1"/>
                          </a:solidFill>
                          <a:effectLst/>
                          <a:latin typeface="Cambria Math" panose="02040503050406030204" pitchFamily="18" charset="0"/>
                          <a:ea typeface="+mn-ea"/>
                          <a:cs typeface="+mn-cs"/>
                        </a:rPr>
                        <m:t> </m:t>
                      </m:r>
                      <m:r>
                        <a:rPr lang="en-US" sz="1100" b="0" i="1" baseline="0">
                          <a:solidFill>
                            <a:schemeClr val="tx1"/>
                          </a:solidFill>
                          <a:effectLst/>
                          <a:latin typeface="Cambria Math" panose="02040503050406030204" pitchFamily="18" charset="0"/>
                          <a:ea typeface="+mn-ea"/>
                          <a:cs typeface="+mn-cs"/>
                        </a:rPr>
                        <m:t>𝑀𝑑𝑒𝑛𝑡</m:t>
                      </m:r>
                    </m:num>
                    <m:den>
                      <m:r>
                        <a:rPr lang="en-US" sz="1100" b="0" i="1" baseline="0">
                          <a:solidFill>
                            <a:schemeClr val="tx1"/>
                          </a:solidFill>
                          <a:effectLst/>
                          <a:latin typeface="Cambria Math" panose="02040503050406030204" pitchFamily="18" charset="0"/>
                          <a:ea typeface="+mn-ea"/>
                          <a:cs typeface="+mn-cs"/>
                        </a:rPr>
                        <m:t>𝑡</m:t>
                      </m:r>
                      <m:r>
                        <a:rPr lang="en-US" sz="1100" b="0" i="1" baseline="30000">
                          <a:solidFill>
                            <a:schemeClr val="tx1"/>
                          </a:solidFill>
                          <a:effectLst/>
                          <a:latin typeface="Cambria Math" panose="02040503050406030204" pitchFamily="18" charset="0"/>
                          <a:ea typeface="+mn-ea"/>
                          <a:cs typeface="+mn-cs"/>
                        </a:rPr>
                        <m:t>2</m:t>
                      </m:r>
                    </m:den>
                  </m:f>
                  <m:r>
                    <a:rPr lang="en-US" sz="1100" b="0" i="0" baseline="30000">
                      <a:solidFill>
                        <a:schemeClr val="tx1"/>
                      </a:solidFill>
                      <a:effectLst/>
                      <a:latin typeface="Cambria Math" panose="02040503050406030204" pitchFamily="18" charset="0"/>
                      <a:ea typeface="+mn-ea"/>
                      <a:cs typeface="+mn-cs"/>
                    </a:rPr>
                    <m:t> </m:t>
                  </m:r>
                </m:oMath>
              </a14:m>
              <a:r>
                <a:rPr lang="en-US" baseline="0">
                  <a:effectLst/>
                </a:rPr>
                <a:t> , if 2 &gt; e</a:t>
              </a:r>
              <a:r>
                <a:rPr lang="en-US" baseline="-25000">
                  <a:effectLst/>
                </a:rPr>
                <a:t>m</a:t>
              </a:r>
              <a:r>
                <a:rPr lang="en-US" baseline="0">
                  <a:effectLst/>
                </a:rPr>
                <a:t>/D ≥ 0.5</a:t>
              </a:r>
            </a:p>
          </xdr:txBody>
        </xdr:sp>
      </mc:Choice>
      <mc:Fallback xmlns="">
        <xdr:sp macro="" textlink="">
          <xdr:nvSpPr>
            <xdr:cNvPr id="48" name="TextBox 47">
              <a:extLst>
                <a:ext uri="{FF2B5EF4-FFF2-40B4-BE49-F238E27FC236}">
                  <a16:creationId xmlns:a16="http://schemas.microsoft.com/office/drawing/2014/main" id="{00000000-0008-0000-0200-000030000000}"/>
                </a:ext>
              </a:extLst>
            </xdr:cNvPr>
            <xdr:cNvSpPr txBox="1"/>
          </xdr:nvSpPr>
          <xdr:spPr>
            <a:xfrm>
              <a:off x="2438401" y="17259300"/>
              <a:ext cx="2000249" cy="5524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tx1"/>
                  </a:solidFill>
                  <a:effectLst/>
                  <a:latin typeface="+mn-lt"/>
                  <a:ea typeface="+mn-ea"/>
                  <a:cs typeface="+mn-cs"/>
                </a:rPr>
                <a:t>1.25 x </a:t>
              </a:r>
              <a:r>
                <a:rPr lang="en-US" sz="1100" i="0">
                  <a:solidFill>
                    <a:schemeClr val="tx1"/>
                  </a:solidFill>
                  <a:effectLst/>
                  <a:latin typeface="Cambria Math" panose="02040503050406030204" pitchFamily="18" charset="0"/>
                  <a:ea typeface="+mn-ea"/>
                  <a:cs typeface="+mn-cs"/>
                </a:rPr>
                <a:t>𝜎</a:t>
              </a:r>
              <a:r>
                <a:rPr lang="en-US" sz="1100" baseline="-25000">
                  <a:solidFill>
                    <a:schemeClr val="tx1"/>
                  </a:solidFill>
                  <a:effectLst/>
                  <a:latin typeface="+mn-lt"/>
                  <a:ea typeface="+mn-ea"/>
                  <a:cs typeface="+mn-cs"/>
                </a:rPr>
                <a:t>MAX </a:t>
              </a:r>
              <a:r>
                <a:rPr lang="en-US" sz="1100" b="0" i="0" u="none" strike="noStrike" baseline="0">
                  <a:solidFill>
                    <a:schemeClr val="tx1"/>
                  </a:solidFill>
                  <a:latin typeface="+mn-lt"/>
                  <a:ea typeface="+mn-ea"/>
                  <a:cs typeface="+mn-cs"/>
                </a:rPr>
                <a:t>,     	if e</a:t>
              </a:r>
              <a:r>
                <a:rPr lang="en-US" sz="1100" b="0" i="0" u="none" strike="noStrike" baseline="-25000">
                  <a:solidFill>
                    <a:schemeClr val="tx1"/>
                  </a:solidFill>
                  <a:latin typeface="+mn-lt"/>
                  <a:ea typeface="+mn-ea"/>
                  <a:cs typeface="+mn-cs"/>
                </a:rPr>
                <a:t>m</a:t>
              </a:r>
              <a:r>
                <a:rPr lang="en-US" sz="1100" b="0" i="0" u="none" strike="noStrike" baseline="0">
                  <a:solidFill>
                    <a:schemeClr val="tx1"/>
                  </a:solidFill>
                  <a:latin typeface="+mn-lt"/>
                  <a:ea typeface="+mn-ea"/>
                  <a:cs typeface="+mn-cs"/>
                </a:rPr>
                <a:t>/D ≥ 2</a:t>
              </a: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tx1"/>
                  </a:solidFill>
                  <a:effectLst/>
                  <a:latin typeface="+mn-lt"/>
                  <a:ea typeface="+mn-ea"/>
                  <a:cs typeface="+mn-cs"/>
                </a:rPr>
                <a:t>𝜎</a:t>
              </a:r>
              <a:r>
                <a:rPr lang="en-US" sz="1100" b="0" i="0" baseline="-25000">
                  <a:solidFill>
                    <a:schemeClr val="tx1"/>
                  </a:solidFill>
                  <a:effectLst/>
                  <a:latin typeface="+mn-lt"/>
                  <a:ea typeface="+mn-ea"/>
                  <a:cs typeface="+mn-cs"/>
                </a:rPr>
                <a:t>𝑀𝐴𝑋 </a:t>
              </a:r>
              <a:r>
                <a:rPr lang="en-US" sz="1100" b="0" i="0" baseline="0">
                  <a:solidFill>
                    <a:schemeClr val="tx1"/>
                  </a:solidFill>
                  <a:effectLst/>
                  <a:latin typeface="+mn-lt"/>
                  <a:ea typeface="+mn-ea"/>
                  <a:cs typeface="+mn-cs"/>
                </a:rPr>
                <a:t>+ </a:t>
              </a:r>
              <a:r>
                <a:rPr lang="en-US" sz="1100" b="0" i="0" baseline="0">
                  <a:solidFill>
                    <a:schemeClr val="tx1"/>
                  </a:solidFill>
                  <a:effectLst/>
                  <a:latin typeface="Cambria Math" panose="02040503050406030204" pitchFamily="18" charset="0"/>
                  <a:ea typeface="+mn-ea"/>
                  <a:cs typeface="+mn-cs"/>
                </a:rPr>
                <a:t>(1.8 𝑥 𝑀𝑑𝑒𝑛𝑡)/𝑡</a:t>
              </a:r>
              <a:r>
                <a:rPr lang="en-US" sz="1100" b="0" i="0" baseline="30000">
                  <a:solidFill>
                    <a:schemeClr val="tx1"/>
                  </a:solidFill>
                  <a:effectLst/>
                  <a:latin typeface="Cambria Math" panose="02040503050406030204" pitchFamily="18" charset="0"/>
                  <a:ea typeface="+mn-ea"/>
                  <a:cs typeface="+mn-cs"/>
                </a:rPr>
                <a:t>2  </a:t>
              </a:r>
              <a:r>
                <a:rPr lang="en-US" baseline="0">
                  <a:effectLst/>
                </a:rPr>
                <a:t> , if 2 &gt; e</a:t>
              </a:r>
              <a:r>
                <a:rPr lang="en-US" baseline="-25000">
                  <a:effectLst/>
                </a:rPr>
                <a:t>m</a:t>
              </a:r>
              <a:r>
                <a:rPr lang="en-US" baseline="0">
                  <a:effectLst/>
                </a:rPr>
                <a:t>/D ≥ 0.5</a:t>
              </a:r>
            </a:p>
          </xdr:txBody>
        </xdr:sp>
      </mc:Fallback>
    </mc:AlternateContent>
    <xdr:clientData/>
  </xdr:oneCellAnchor>
  <xdr:oneCellAnchor>
    <xdr:from>
      <xdr:col>1</xdr:col>
      <xdr:colOff>1006848</xdr:colOff>
      <xdr:row>61</xdr:row>
      <xdr:rowOff>45944</xdr:rowOff>
    </xdr:from>
    <xdr:ext cx="819150" cy="371475"/>
    <mc:AlternateContent xmlns:mc="http://schemas.openxmlformats.org/markup-compatibility/2006" xmlns:a14="http://schemas.microsoft.com/office/drawing/2010/main">
      <mc:Choice Requires="a14">
        <xdr:sp macro="" textlink="">
          <xdr:nvSpPr>
            <xdr:cNvPr id="50" name="TextBox 49">
              <a:extLst>
                <a:ext uri="{FF2B5EF4-FFF2-40B4-BE49-F238E27FC236}">
                  <a16:creationId xmlns:a16="http://schemas.microsoft.com/office/drawing/2014/main" id="{00000000-0008-0000-0200-000032000000}"/>
                </a:ext>
              </a:extLst>
            </xdr:cNvPr>
            <xdr:cNvSpPr txBox="1"/>
          </xdr:nvSpPr>
          <xdr:spPr>
            <a:xfrm>
              <a:off x="3045198" y="18105344"/>
              <a:ext cx="819150"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f>
                    <m:fPr>
                      <m:ctrlPr>
                        <a:rPr lang="en-US" sz="1100" b="0" i="1" u="none" strike="noStrike" baseline="0" smtClean="0">
                          <a:solidFill>
                            <a:schemeClr val="tx1"/>
                          </a:solidFill>
                          <a:latin typeface="Cambria Math" panose="02040503050406030204" pitchFamily="18" charset="0"/>
                          <a:ea typeface="+mn-ea"/>
                          <a:cs typeface="+mn-cs"/>
                        </a:rPr>
                      </m:ctrlPr>
                    </m:fPr>
                    <m:num>
                      <m:r>
                        <m:rPr>
                          <m:nor/>
                        </m:rPr>
                        <a:rPr lang="en-US" sz="1100" b="0" i="1" u="none" strike="noStrike" baseline="0" smtClean="0">
                          <a:solidFill>
                            <a:schemeClr val="tx1"/>
                          </a:solidFill>
                          <a:latin typeface="Cambria Math" panose="02040503050406030204" pitchFamily="18" charset="0"/>
                          <a:ea typeface="+mn-ea"/>
                          <a:cs typeface="+mn-cs"/>
                        </a:rPr>
                        <m:t>F</m:t>
                      </m:r>
                      <m:r>
                        <m:rPr>
                          <m:nor/>
                        </m:rPr>
                        <a:rPr lang="en-US" sz="1100" b="0" i="0" baseline="-25000">
                          <a:solidFill>
                            <a:schemeClr val="tx1"/>
                          </a:solidFill>
                          <a:effectLst/>
                          <a:latin typeface="+mn-lt"/>
                          <a:ea typeface="+mn-ea"/>
                          <a:cs typeface="+mn-cs"/>
                        </a:rPr>
                        <m:t>allow</m:t>
                      </m:r>
                      <m:r>
                        <m:rPr>
                          <m:nor/>
                        </m:rPr>
                        <a:rPr lang="en-US" sz="1100" b="0" i="0" baseline="-25000">
                          <a:solidFill>
                            <a:schemeClr val="tx1"/>
                          </a:solidFill>
                          <a:effectLst/>
                          <a:latin typeface="+mn-lt"/>
                          <a:ea typeface="+mn-ea"/>
                          <a:cs typeface="+mn-cs"/>
                        </a:rPr>
                        <m:t> </m:t>
                      </m:r>
                      <m:r>
                        <m:rPr>
                          <m:nor/>
                        </m:rPr>
                        <a:rPr lang="en-US" sz="1100" b="0" i="0" baseline="0">
                          <a:solidFill>
                            <a:schemeClr val="tx1"/>
                          </a:solidFill>
                          <a:effectLst/>
                          <a:latin typeface="+mn-lt"/>
                          <a:ea typeface="+mn-ea"/>
                          <a:cs typeface="+mn-cs"/>
                        </a:rPr>
                        <m:t>x</m:t>
                      </m:r>
                      <m:r>
                        <m:rPr>
                          <m:nor/>
                        </m:rPr>
                        <a:rPr lang="en-US" sz="1100" b="0" i="0" baseline="0">
                          <a:solidFill>
                            <a:schemeClr val="tx1"/>
                          </a:solidFill>
                          <a:effectLst/>
                          <a:latin typeface="+mn-lt"/>
                          <a:ea typeface="+mn-ea"/>
                          <a:cs typeface="+mn-cs"/>
                        </a:rPr>
                        <m:t> </m:t>
                      </m:r>
                      <m:r>
                        <a:rPr lang="en-US" sz="1100" b="0" i="1" baseline="0">
                          <a:solidFill>
                            <a:schemeClr val="tx1"/>
                          </a:solidFill>
                          <a:effectLst/>
                          <a:latin typeface="Cambria Math" panose="02040503050406030204" pitchFamily="18" charset="0"/>
                          <a:ea typeface="+mn-ea"/>
                          <a:cs typeface="+mn-cs"/>
                        </a:rPr>
                        <m:t>𝑇𝑅𝐹</m:t>
                      </m:r>
                    </m:num>
                    <m:den>
                      <m:r>
                        <m:rPr>
                          <m:nor/>
                        </m:rPr>
                        <a:rPr lang="en-US" sz="1100" b="0" i="0" baseline="0">
                          <a:solidFill>
                            <a:schemeClr val="tx1"/>
                          </a:solidFill>
                          <a:effectLst/>
                          <a:latin typeface="+mn-lt"/>
                          <a:ea typeface="+mn-ea"/>
                          <a:cs typeface="+mn-cs"/>
                        </a:rPr>
                        <m:t>|</m:t>
                      </m:r>
                      <m:r>
                        <m:rPr>
                          <m:nor/>
                        </m:rPr>
                        <a:rPr lang="en-US" sz="1100" b="0" i="0" baseline="0">
                          <a:solidFill>
                            <a:schemeClr val="tx1"/>
                          </a:solidFill>
                          <a:effectLst/>
                          <a:latin typeface="+mn-lt"/>
                          <a:ea typeface="+mn-ea"/>
                          <a:cs typeface="+mn-cs"/>
                        </a:rPr>
                        <m:t>𝜎</m:t>
                      </m:r>
                      <m:r>
                        <m:rPr>
                          <m:nor/>
                        </m:rPr>
                        <a:rPr lang="en-US" sz="1100" b="0" i="0" baseline="-25000">
                          <a:solidFill>
                            <a:schemeClr val="tx1"/>
                          </a:solidFill>
                          <a:effectLst/>
                          <a:latin typeface="+mn-lt"/>
                          <a:ea typeface="+mn-ea"/>
                          <a:cs typeface="+mn-cs"/>
                        </a:rPr>
                        <m:t>OH</m:t>
                      </m:r>
                      <m:r>
                        <m:rPr>
                          <m:nor/>
                        </m:rPr>
                        <a:rPr lang="en-US" sz="1100" b="0" i="0" baseline="0">
                          <a:solidFill>
                            <a:schemeClr val="tx1"/>
                          </a:solidFill>
                          <a:effectLst/>
                          <a:latin typeface="+mn-lt"/>
                          <a:ea typeface="+mn-ea"/>
                          <a:cs typeface="+mn-cs"/>
                        </a:rPr>
                        <m:t>| </m:t>
                      </m:r>
                    </m:den>
                  </m:f>
                </m:oMath>
              </a14:m>
              <a:r>
                <a:rPr lang="en-US" sz="1100" b="0" i="0" u="none" strike="noStrike" baseline="0">
                  <a:solidFill>
                    <a:schemeClr val="tx1"/>
                  </a:solidFill>
                  <a:latin typeface="+mn-lt"/>
                  <a:ea typeface="+mn-ea"/>
                  <a:cs typeface="+mn-cs"/>
                </a:rPr>
                <a:t> - 1</a:t>
              </a:r>
            </a:p>
          </xdr:txBody>
        </xdr:sp>
      </mc:Choice>
      <mc:Fallback xmlns="">
        <xdr:sp macro="" textlink="">
          <xdr:nvSpPr>
            <xdr:cNvPr id="50" name="TextBox 49"/>
            <xdr:cNvSpPr txBox="1"/>
          </xdr:nvSpPr>
          <xdr:spPr>
            <a:xfrm>
              <a:off x="3045198" y="18105344"/>
              <a:ext cx="819150"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n-US" sz="1100" b="0" i="0" u="none" strike="noStrike" baseline="0" smtClean="0">
                  <a:solidFill>
                    <a:schemeClr val="tx1"/>
                  </a:solidFill>
                  <a:latin typeface="Cambria Math" panose="02040503050406030204" pitchFamily="18" charset="0"/>
                  <a:ea typeface="+mn-ea"/>
                  <a:cs typeface="+mn-cs"/>
                </a:rPr>
                <a:t>("F</a:t>
              </a:r>
              <a:r>
                <a:rPr lang="en-US" sz="1100" b="0" i="0" baseline="-25000">
                  <a:solidFill>
                    <a:schemeClr val="tx1"/>
                  </a:solidFill>
                  <a:effectLst/>
                  <a:latin typeface="+mn-lt"/>
                  <a:ea typeface="+mn-ea"/>
                  <a:cs typeface="+mn-cs"/>
                </a:rPr>
                <a:t>allow </a:t>
              </a:r>
              <a:r>
                <a:rPr lang="en-US" sz="1100" b="0" i="0" baseline="0">
                  <a:solidFill>
                    <a:schemeClr val="tx1"/>
                  </a:solidFill>
                  <a:effectLst/>
                  <a:latin typeface="+mn-lt"/>
                  <a:ea typeface="+mn-ea"/>
                  <a:cs typeface="+mn-cs"/>
                </a:rPr>
                <a:t>x </a:t>
              </a:r>
              <a:r>
                <a:rPr lang="en-US" sz="1100" b="0" i="0" baseline="0">
                  <a:solidFill>
                    <a:schemeClr val="tx1"/>
                  </a:solidFill>
                  <a:effectLst/>
                  <a:latin typeface="Cambria Math" panose="02040503050406030204" pitchFamily="18" charset="0"/>
                  <a:ea typeface="+mn-ea"/>
                  <a:cs typeface="+mn-cs"/>
                </a:rPr>
                <a:t>" 𝑇𝑅𝐹</a:t>
              </a:r>
              <a:r>
                <a:rPr lang="en-US" sz="1100" b="0" i="0" u="none" strike="noStrike" baseline="0" smtClean="0">
                  <a:solidFill>
                    <a:schemeClr val="tx1"/>
                  </a:solidFill>
                  <a:effectLst/>
                  <a:latin typeface="Cambria Math" panose="02040503050406030204" pitchFamily="18" charset="0"/>
                  <a:ea typeface="+mn-ea"/>
                  <a:cs typeface="+mn-cs"/>
                </a:rPr>
                <a:t>)/</a:t>
              </a:r>
              <a:r>
                <a:rPr lang="en-US" sz="1100" b="0" i="0" u="none" strike="noStrike" baseline="0">
                  <a:solidFill>
                    <a:schemeClr val="tx1"/>
                  </a:solidFill>
                  <a:effectLst/>
                  <a:latin typeface="+mn-lt"/>
                  <a:ea typeface="+mn-ea"/>
                  <a:cs typeface="+mn-cs"/>
                </a:rPr>
                <a:t>"</a:t>
              </a:r>
              <a:r>
                <a:rPr lang="en-US" sz="1100" b="0" i="0" baseline="0">
                  <a:solidFill>
                    <a:schemeClr val="tx1"/>
                  </a:solidFill>
                  <a:effectLst/>
                  <a:latin typeface="+mn-lt"/>
                  <a:ea typeface="+mn-ea"/>
                  <a:cs typeface="+mn-cs"/>
                </a:rPr>
                <a:t>|𝜎</a:t>
              </a:r>
              <a:r>
                <a:rPr lang="en-US" sz="1100" b="0" i="0" baseline="-25000">
                  <a:solidFill>
                    <a:schemeClr val="tx1"/>
                  </a:solidFill>
                  <a:effectLst/>
                  <a:latin typeface="+mn-lt"/>
                  <a:ea typeface="+mn-ea"/>
                  <a:cs typeface="+mn-cs"/>
                </a:rPr>
                <a:t>OH</a:t>
              </a:r>
              <a:r>
                <a:rPr lang="en-US" sz="1100" b="0" i="0" baseline="0">
                  <a:solidFill>
                    <a:schemeClr val="tx1"/>
                  </a:solidFill>
                  <a:effectLst/>
                  <a:latin typeface="+mn-lt"/>
                  <a:ea typeface="+mn-ea"/>
                  <a:cs typeface="+mn-cs"/>
                </a:rPr>
                <a:t>| </a:t>
              </a:r>
              <a:r>
                <a:rPr lang="en-US" sz="1100" b="0" i="0" baseline="0">
                  <a:solidFill>
                    <a:schemeClr val="tx1"/>
                  </a:solidFill>
                  <a:effectLst/>
                  <a:latin typeface="Cambria Math" panose="02040503050406030204" pitchFamily="18" charset="0"/>
                  <a:ea typeface="+mn-ea"/>
                  <a:cs typeface="+mn-cs"/>
                </a:rPr>
                <a:t>" </a:t>
              </a:r>
              <a:r>
                <a:rPr lang="en-US" sz="1100" b="0" i="0" u="none" strike="noStrike" baseline="0" smtClean="0">
                  <a:solidFill>
                    <a:schemeClr val="tx1"/>
                  </a:solidFill>
                  <a:latin typeface="+mn-lt"/>
                  <a:ea typeface="+mn-ea"/>
                  <a:cs typeface="+mn-cs"/>
                </a:rPr>
                <a:t> - 1</a:t>
              </a:r>
            </a:p>
          </xdr:txBody>
        </xdr:sp>
      </mc:Fallback>
    </mc:AlternateContent>
    <xdr:clientData/>
  </xdr:oneCellAnchor>
  <xdr:oneCellAnchor>
    <xdr:from>
      <xdr:col>6</xdr:col>
      <xdr:colOff>316247</xdr:colOff>
      <xdr:row>40</xdr:row>
      <xdr:rowOff>4962</xdr:rowOff>
    </xdr:from>
    <xdr:ext cx="394403" cy="172227"/>
    <mc:AlternateContent xmlns:mc="http://schemas.openxmlformats.org/markup-compatibility/2006" xmlns:a14="http://schemas.microsoft.com/office/drawing/2010/main">
      <mc:Choice Requires="a14">
        <xdr:sp macro="" textlink="">
          <xdr:nvSpPr>
            <xdr:cNvPr id="39" name="TextBox 38">
              <a:extLst>
                <a:ext uri="{FF2B5EF4-FFF2-40B4-BE49-F238E27FC236}">
                  <a16:creationId xmlns:a16="http://schemas.microsoft.com/office/drawing/2014/main" id="{00000000-0008-0000-0200-000027000000}"/>
                </a:ext>
              </a:extLst>
            </xdr:cNvPr>
            <xdr:cNvSpPr txBox="1"/>
          </xdr:nvSpPr>
          <xdr:spPr>
            <a:xfrm>
              <a:off x="10079372" y="9749037"/>
              <a:ext cx="394403"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en-US" sz="1100" b="0" i="0" baseline="0">
                        <a:solidFill>
                          <a:schemeClr val="tx1"/>
                        </a:solidFill>
                        <a:effectLst/>
                        <a:latin typeface="+mn-lt"/>
                        <a:ea typeface="+mn-ea"/>
                        <a:cs typeface="+mn-cs"/>
                      </a:rPr>
                      <m:t>𝜎</m:t>
                    </m:r>
                    <m:r>
                      <m:rPr>
                        <m:nor/>
                      </m:rPr>
                      <a:rPr lang="en-US" sz="1100" b="0" i="0" baseline="-25000">
                        <a:solidFill>
                          <a:schemeClr val="tx1"/>
                        </a:solidFill>
                        <a:effectLst/>
                        <a:latin typeface="+mn-lt"/>
                        <a:ea typeface="+mn-ea"/>
                        <a:cs typeface="+mn-cs"/>
                      </a:rPr>
                      <m:t>max</m:t>
                    </m:r>
                    <m:r>
                      <m:rPr>
                        <m:nor/>
                      </m:rPr>
                      <a:rPr lang="en-US" sz="1100" b="0" i="0" baseline="-25000">
                        <a:solidFill>
                          <a:schemeClr val="tx1"/>
                        </a:solidFill>
                        <a:effectLst/>
                        <a:latin typeface="+mn-lt"/>
                        <a:ea typeface="+mn-ea"/>
                        <a:cs typeface="+mn-cs"/>
                      </a:rPr>
                      <m:t>,</m:t>
                    </m:r>
                    <m:r>
                      <m:rPr>
                        <m:nor/>
                      </m:rPr>
                      <a:rPr lang="en-US" sz="1100" b="0" i="0" baseline="-25000">
                        <a:solidFill>
                          <a:schemeClr val="tx1"/>
                        </a:solidFill>
                        <a:effectLst/>
                        <a:latin typeface="+mn-lt"/>
                        <a:ea typeface="+mn-ea"/>
                        <a:cs typeface="+mn-cs"/>
                      </a:rPr>
                      <m:t>𝑃𝑟</m:t>
                    </m:r>
                  </m:oMath>
                </m:oMathPara>
              </a14:m>
              <a:endParaRPr lang="en-US" sz="1100" baseline="-25000"/>
            </a:p>
          </xdr:txBody>
        </xdr:sp>
      </mc:Choice>
      <mc:Fallback xmlns="">
        <xdr:sp macro="" textlink="">
          <xdr:nvSpPr>
            <xdr:cNvPr id="39" name="TextBox 38">
              <a:extLst>
                <a:ext uri="{FF2B5EF4-FFF2-40B4-BE49-F238E27FC236}">
                  <a16:creationId xmlns:a16="http://schemas.microsoft.com/office/drawing/2014/main" id="{00000000-0008-0000-0200-000027000000}"/>
                </a:ext>
              </a:extLst>
            </xdr:cNvPr>
            <xdr:cNvSpPr txBox="1"/>
          </xdr:nvSpPr>
          <xdr:spPr>
            <a:xfrm>
              <a:off x="10079372" y="9749037"/>
              <a:ext cx="394403"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baseline="0">
                  <a:solidFill>
                    <a:schemeClr val="tx1"/>
                  </a:solidFill>
                  <a:effectLst/>
                  <a:latin typeface="Cambria Math" panose="02040503050406030204" pitchFamily="18" charset="0"/>
                  <a:ea typeface="+mn-ea"/>
                  <a:cs typeface="+mn-cs"/>
                </a:rPr>
                <a:t>"𝜎</a:t>
              </a:r>
              <a:r>
                <a:rPr lang="en-US" sz="1100" b="0" i="0" baseline="-25000">
                  <a:solidFill>
                    <a:schemeClr val="tx1"/>
                  </a:solidFill>
                  <a:effectLst/>
                  <a:latin typeface="Cambria Math" panose="02040503050406030204" pitchFamily="18" charset="0"/>
                  <a:ea typeface="+mn-ea"/>
                  <a:cs typeface="+mn-cs"/>
                </a:rPr>
                <a:t>max,𝑃𝑟</a:t>
              </a:r>
              <a:r>
                <a:rPr lang="en-US" sz="1100" b="0" i="0" baseline="-25000">
                  <a:solidFill>
                    <a:schemeClr val="tx1"/>
                  </a:solidFill>
                  <a:effectLst/>
                  <a:latin typeface="+mn-lt"/>
                  <a:ea typeface="+mn-ea"/>
                  <a:cs typeface="+mn-cs"/>
                </a:rPr>
                <a:t>"</a:t>
              </a:r>
              <a:endParaRPr lang="en-US" sz="1100" baseline="-25000"/>
            </a:p>
          </xdr:txBody>
        </xdr:sp>
      </mc:Fallback>
    </mc:AlternateContent>
    <xdr:clientData/>
  </xdr:oneCellAnchor>
  <xdr:oneCellAnchor>
    <xdr:from>
      <xdr:col>6</xdr:col>
      <xdr:colOff>323050</xdr:colOff>
      <xdr:row>41</xdr:row>
      <xdr:rowOff>76200</xdr:rowOff>
    </xdr:from>
    <xdr:ext cx="396134" cy="202403"/>
    <mc:AlternateContent xmlns:mc="http://schemas.openxmlformats.org/markup-compatibility/2006" xmlns:a14="http://schemas.microsoft.com/office/drawing/2010/main">
      <mc:Choice Requires="a14">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9638500" y="10582275"/>
              <a:ext cx="396134" cy="2024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ParaPr>
                    <m:jc m:val="centerGroup"/>
                  </m:oMathParaPr>
                  <m:oMath xmlns:m="http://schemas.openxmlformats.org/officeDocument/2006/math">
                    <m:r>
                      <m:rPr>
                        <m:nor/>
                      </m:rPr>
                      <a:rPr lang="en-US" sz="1100" b="0" i="0" baseline="0">
                        <a:solidFill>
                          <a:schemeClr val="tx1"/>
                        </a:solidFill>
                        <a:effectLst/>
                        <a:latin typeface="+mn-lt"/>
                        <a:ea typeface="+mn-ea"/>
                        <a:cs typeface="+mn-cs"/>
                      </a:rPr>
                      <m:t>𝜎</m:t>
                    </m:r>
                    <m:r>
                      <m:rPr>
                        <m:nor/>
                      </m:rPr>
                      <a:rPr lang="en-US" sz="1100" b="0" i="0" baseline="-25000">
                        <a:solidFill>
                          <a:schemeClr val="tx1"/>
                        </a:solidFill>
                        <a:effectLst/>
                        <a:latin typeface="+mn-lt"/>
                        <a:ea typeface="+mn-ea"/>
                        <a:cs typeface="+mn-cs"/>
                      </a:rPr>
                      <m:t>𝑚𝑖𝑛</m:t>
                    </m:r>
                    <m:r>
                      <m:rPr>
                        <m:nor/>
                      </m:rPr>
                      <a:rPr lang="en-US" sz="1100" b="0" i="0" baseline="-25000">
                        <a:solidFill>
                          <a:schemeClr val="tx1"/>
                        </a:solidFill>
                        <a:effectLst/>
                        <a:latin typeface="+mn-lt"/>
                        <a:ea typeface="+mn-ea"/>
                        <a:cs typeface="+mn-cs"/>
                      </a:rPr>
                      <m:t>,</m:t>
                    </m:r>
                    <m:r>
                      <m:rPr>
                        <m:nor/>
                      </m:rPr>
                      <a:rPr lang="en-US" sz="1100" b="0" i="0" baseline="-25000">
                        <a:solidFill>
                          <a:schemeClr val="tx1"/>
                        </a:solidFill>
                        <a:effectLst/>
                        <a:latin typeface="+mn-lt"/>
                        <a:ea typeface="+mn-ea"/>
                        <a:cs typeface="+mn-cs"/>
                      </a:rPr>
                      <m:t>𝑃𝑟</m:t>
                    </m:r>
                  </m:oMath>
                </m:oMathPara>
              </a14:m>
              <a:endParaRPr lang="en-US" sz="1100" baseline="-25000"/>
            </a:p>
          </xdr:txBody>
        </xdr:sp>
      </mc:Choice>
      <mc:Fallback xmlns="">
        <xdr:sp macro="" textlink="">
          <xdr:nvSpPr>
            <xdr:cNvPr id="41" name="TextBox 40"/>
            <xdr:cNvSpPr txBox="1"/>
          </xdr:nvSpPr>
          <xdr:spPr>
            <a:xfrm>
              <a:off x="9638500" y="10582275"/>
              <a:ext cx="396134" cy="2024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baseline="0">
                  <a:solidFill>
                    <a:schemeClr val="tx1"/>
                  </a:solidFill>
                  <a:effectLst/>
                  <a:latin typeface="Cambria Math" panose="02040503050406030204" pitchFamily="18" charset="0"/>
                  <a:ea typeface="+mn-ea"/>
                  <a:cs typeface="+mn-cs"/>
                </a:rPr>
                <a:t>"𝜎</a:t>
              </a:r>
              <a:r>
                <a:rPr lang="en-US" sz="1100" b="0" i="0" baseline="-25000">
                  <a:solidFill>
                    <a:schemeClr val="tx1"/>
                  </a:solidFill>
                  <a:effectLst/>
                  <a:latin typeface="Cambria Math" panose="02040503050406030204" pitchFamily="18" charset="0"/>
                  <a:ea typeface="+mn-ea"/>
                  <a:cs typeface="+mn-cs"/>
                </a:rPr>
                <a:t>𝑚𝑖𝑛,𝑃𝑟</a:t>
              </a:r>
              <a:r>
                <a:rPr lang="en-US" sz="1100" b="0" i="0" baseline="-25000">
                  <a:solidFill>
                    <a:schemeClr val="tx1"/>
                  </a:solidFill>
                  <a:effectLst/>
                  <a:latin typeface="+mn-lt"/>
                  <a:ea typeface="+mn-ea"/>
                  <a:cs typeface="+mn-cs"/>
                </a:rPr>
                <a:t>"</a:t>
              </a:r>
              <a:endParaRPr lang="en-US" sz="1100" baseline="-25000"/>
            </a:p>
          </xdr:txBody>
        </xdr:sp>
      </mc:Fallback>
    </mc:AlternateContent>
    <xdr:clientData/>
  </xdr:oneCellAnchor>
  <xdr:oneCellAnchor>
    <xdr:from>
      <xdr:col>1</xdr:col>
      <xdr:colOff>517711</xdr:colOff>
      <xdr:row>32</xdr:row>
      <xdr:rowOff>81242</xdr:rowOff>
    </xdr:from>
    <xdr:ext cx="1490343" cy="172227"/>
    <mc:AlternateContent xmlns:mc="http://schemas.openxmlformats.org/markup-compatibility/2006" xmlns:a14="http://schemas.microsoft.com/office/drawing/2010/main">
      <mc:Choice Requires="a14">
        <xdr:sp macro="" textlink="">
          <xdr:nvSpPr>
            <xdr:cNvPr id="47" name="TextBox 46">
              <a:extLst>
                <a:ext uri="{FF2B5EF4-FFF2-40B4-BE49-F238E27FC236}">
                  <a16:creationId xmlns:a16="http://schemas.microsoft.com/office/drawing/2014/main" id="{00000000-0008-0000-0200-00002F000000}"/>
                </a:ext>
              </a:extLst>
            </xdr:cNvPr>
            <xdr:cNvSpPr txBox="1"/>
          </xdr:nvSpPr>
          <xdr:spPr>
            <a:xfrm>
              <a:off x="2556061" y="7005917"/>
              <a:ext cx="1490343"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en-US" sz="1100" b="0" i="0" u="none" strike="noStrike" baseline="0" smtClean="0">
                        <a:solidFill>
                          <a:schemeClr val="tx1"/>
                        </a:solidFill>
                        <a:latin typeface="+mn-lt"/>
                        <a:ea typeface="+mn-ea"/>
                        <a:cs typeface="+mn-cs"/>
                      </a:rPr>
                      <m:t>MAX</m:t>
                    </m:r>
                    <m:r>
                      <m:rPr>
                        <m:nor/>
                      </m:rPr>
                      <a:rPr lang="en-US" sz="1100" b="0" i="0" u="none" strike="noStrike" baseline="0" smtClean="0">
                        <a:solidFill>
                          <a:schemeClr val="tx1"/>
                        </a:solidFill>
                        <a:latin typeface="+mn-lt"/>
                        <a:ea typeface="+mn-ea"/>
                        <a:cs typeface="+mn-cs"/>
                      </a:rPr>
                      <m:t>(|</m:t>
                    </m:r>
                    <m:r>
                      <m:rPr>
                        <m:nor/>
                      </m:rPr>
                      <a:rPr lang="en-US" sz="1100" b="0" i="0" u="none" strike="noStrike" baseline="0" smtClean="0">
                        <a:solidFill>
                          <a:schemeClr val="tx1"/>
                        </a:solidFill>
                        <a:latin typeface="+mn-lt"/>
                        <a:ea typeface="+mn-ea"/>
                        <a:cs typeface="+mn-cs"/>
                      </a:rPr>
                      <m:t>𝜎</m:t>
                    </m:r>
                    <m:r>
                      <m:rPr>
                        <m:nor/>
                      </m:rPr>
                      <a:rPr lang="en-US" sz="1100" b="0" i="0" u="none" strike="noStrike" baseline="-25000" smtClean="0">
                        <a:solidFill>
                          <a:schemeClr val="tx1"/>
                        </a:solidFill>
                        <a:latin typeface="+mn-lt"/>
                        <a:ea typeface="+mn-ea"/>
                        <a:cs typeface="+mn-cs"/>
                      </a:rPr>
                      <m:t>𝑀𝐴𝑋</m:t>
                    </m:r>
                    <m:r>
                      <m:rPr>
                        <m:nor/>
                      </m:rPr>
                      <a:rPr lang="en-US" sz="1100" b="0" i="0" u="none" strike="noStrike" baseline="-25000" smtClean="0">
                        <a:solidFill>
                          <a:schemeClr val="tx1"/>
                        </a:solidFill>
                        <a:latin typeface="+mn-lt"/>
                        <a:ea typeface="+mn-ea"/>
                        <a:cs typeface="+mn-cs"/>
                      </a:rPr>
                      <m:t>,</m:t>
                    </m:r>
                    <m:r>
                      <m:rPr>
                        <m:nor/>
                      </m:rPr>
                      <a:rPr lang="en-US" sz="1100" b="0" i="0" u="none" strike="noStrike" baseline="-25000" smtClean="0">
                        <a:solidFill>
                          <a:schemeClr val="tx1"/>
                        </a:solidFill>
                        <a:latin typeface="+mn-lt"/>
                        <a:ea typeface="+mn-ea"/>
                        <a:cs typeface="+mn-cs"/>
                      </a:rPr>
                      <m:t>𝑃𝑟</m:t>
                    </m:r>
                    <m:r>
                      <m:rPr>
                        <m:nor/>
                      </m:rPr>
                      <a:rPr lang="en-US" sz="1100" b="0" i="0" u="none" strike="noStrike" baseline="0" smtClean="0">
                        <a:solidFill>
                          <a:schemeClr val="tx1"/>
                        </a:solidFill>
                        <a:latin typeface="+mn-lt"/>
                        <a:ea typeface="+mn-ea"/>
                        <a:cs typeface="+mn-cs"/>
                      </a:rPr>
                      <m:t>|,|</m:t>
                    </m:r>
                    <m:r>
                      <m:rPr>
                        <m:nor/>
                      </m:rPr>
                      <a:rPr lang="en-US" sz="1100" b="0" i="0" u="none" strike="noStrike" baseline="0" smtClean="0">
                        <a:solidFill>
                          <a:schemeClr val="tx1"/>
                        </a:solidFill>
                        <a:latin typeface="+mn-lt"/>
                        <a:ea typeface="+mn-ea"/>
                        <a:cs typeface="+mn-cs"/>
                      </a:rPr>
                      <m:t>𝜎</m:t>
                    </m:r>
                    <m:r>
                      <m:rPr>
                        <m:nor/>
                      </m:rPr>
                      <a:rPr lang="en-US" sz="1100" b="0" i="0" u="none" strike="noStrike" baseline="-25000" smtClean="0">
                        <a:solidFill>
                          <a:schemeClr val="tx1"/>
                        </a:solidFill>
                        <a:latin typeface="+mn-lt"/>
                        <a:ea typeface="+mn-ea"/>
                        <a:cs typeface="+mn-cs"/>
                      </a:rPr>
                      <m:t>𝑚𝑖𝑛</m:t>
                    </m:r>
                    <m:r>
                      <m:rPr>
                        <m:nor/>
                      </m:rPr>
                      <a:rPr lang="en-US" sz="1100" b="0" i="0" u="none" strike="noStrike" baseline="-25000" smtClean="0">
                        <a:solidFill>
                          <a:schemeClr val="tx1"/>
                        </a:solidFill>
                        <a:latin typeface="+mn-lt"/>
                        <a:ea typeface="+mn-ea"/>
                        <a:cs typeface="+mn-cs"/>
                      </a:rPr>
                      <m:t>,</m:t>
                    </m:r>
                    <m:r>
                      <m:rPr>
                        <m:nor/>
                      </m:rPr>
                      <a:rPr lang="en-US" sz="1100" b="0" i="0" u="none" strike="noStrike" baseline="-25000" smtClean="0">
                        <a:solidFill>
                          <a:schemeClr val="tx1"/>
                        </a:solidFill>
                        <a:latin typeface="+mn-lt"/>
                        <a:ea typeface="+mn-ea"/>
                        <a:cs typeface="+mn-cs"/>
                      </a:rPr>
                      <m:t>𝑃𝑟</m:t>
                    </m:r>
                    <m:r>
                      <m:rPr>
                        <m:nor/>
                      </m:rPr>
                      <a:rPr lang="en-US" sz="1100" b="0" i="0" u="none" strike="noStrike" baseline="0" smtClean="0">
                        <a:solidFill>
                          <a:schemeClr val="tx1"/>
                        </a:solidFill>
                        <a:latin typeface="+mn-lt"/>
                        <a:ea typeface="+mn-ea"/>
                        <a:cs typeface="+mn-cs"/>
                      </a:rPr>
                      <m:t>|) </m:t>
                    </m:r>
                  </m:oMath>
                </m:oMathPara>
              </a14:m>
              <a:endParaRPr lang="en-US" sz="1100" baseline="-25000"/>
            </a:p>
          </xdr:txBody>
        </xdr:sp>
      </mc:Choice>
      <mc:Fallback xmlns="">
        <xdr:sp macro="" textlink="">
          <xdr:nvSpPr>
            <xdr:cNvPr id="47" name="TextBox 46"/>
            <xdr:cNvSpPr txBox="1"/>
          </xdr:nvSpPr>
          <xdr:spPr>
            <a:xfrm>
              <a:off x="2556061" y="7005917"/>
              <a:ext cx="1490343"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u="none" strike="noStrike" baseline="0" smtClean="0">
                  <a:solidFill>
                    <a:schemeClr val="tx1"/>
                  </a:solidFill>
                  <a:latin typeface="Cambria Math" panose="02040503050406030204" pitchFamily="18" charset="0"/>
                  <a:ea typeface="+mn-ea"/>
                  <a:cs typeface="+mn-cs"/>
                </a:rPr>
                <a:t>"MAX(|𝜎</a:t>
              </a:r>
              <a:r>
                <a:rPr lang="en-US" sz="1100" b="0" i="0" u="none" strike="noStrike" baseline="-25000" smtClean="0">
                  <a:solidFill>
                    <a:schemeClr val="tx1"/>
                  </a:solidFill>
                  <a:latin typeface="Cambria Math" panose="02040503050406030204" pitchFamily="18" charset="0"/>
                  <a:ea typeface="+mn-ea"/>
                  <a:cs typeface="+mn-cs"/>
                </a:rPr>
                <a:t>𝑀𝐴𝑋,𝑃𝑟</a:t>
              </a:r>
              <a:r>
                <a:rPr lang="en-US" sz="1100" b="0" i="0" u="none" strike="noStrike" baseline="0" smtClean="0">
                  <a:solidFill>
                    <a:schemeClr val="tx1"/>
                  </a:solidFill>
                  <a:latin typeface="Cambria Math" panose="02040503050406030204" pitchFamily="18" charset="0"/>
                  <a:ea typeface="+mn-ea"/>
                  <a:cs typeface="+mn-cs"/>
                </a:rPr>
                <a:t>|,|𝜎</a:t>
              </a:r>
              <a:r>
                <a:rPr lang="en-US" sz="1100" b="0" i="0" u="none" strike="noStrike" baseline="-25000" smtClean="0">
                  <a:solidFill>
                    <a:schemeClr val="tx1"/>
                  </a:solidFill>
                  <a:latin typeface="Cambria Math" panose="02040503050406030204" pitchFamily="18" charset="0"/>
                  <a:ea typeface="+mn-ea"/>
                  <a:cs typeface="+mn-cs"/>
                </a:rPr>
                <a:t>𝑚𝑖𝑛,𝑃𝑟</a:t>
              </a:r>
              <a:r>
                <a:rPr lang="en-US" sz="1100" b="0" i="0" u="none" strike="noStrike" baseline="0" smtClean="0">
                  <a:solidFill>
                    <a:schemeClr val="tx1"/>
                  </a:solidFill>
                  <a:latin typeface="Cambria Math" panose="02040503050406030204" pitchFamily="18" charset="0"/>
                  <a:ea typeface="+mn-ea"/>
                  <a:cs typeface="+mn-cs"/>
                </a:rPr>
                <a:t>|) </a:t>
              </a:r>
              <a:r>
                <a:rPr lang="en-US" sz="1100" b="0" i="0" u="none" strike="noStrike" baseline="0" smtClean="0">
                  <a:solidFill>
                    <a:schemeClr val="tx1"/>
                  </a:solidFill>
                  <a:latin typeface="+mn-lt"/>
                  <a:ea typeface="+mn-ea"/>
                  <a:cs typeface="+mn-cs"/>
                </a:rPr>
                <a:t>"</a:t>
              </a:r>
              <a:endParaRPr lang="en-US" sz="1100" baseline="-25000"/>
            </a:p>
          </xdr:txBody>
        </xdr:sp>
      </mc:Fallback>
    </mc:AlternateContent>
    <xdr:clientData/>
  </xdr:oneCellAnchor>
  <xdr:oneCellAnchor>
    <xdr:from>
      <xdr:col>1</xdr:col>
      <xdr:colOff>646579</xdr:colOff>
      <xdr:row>59</xdr:row>
      <xdr:rowOff>117662</xdr:rowOff>
    </xdr:from>
    <xdr:ext cx="1490343" cy="172227"/>
    <mc:AlternateContent xmlns:mc="http://schemas.openxmlformats.org/markup-compatibility/2006" xmlns:a14="http://schemas.microsoft.com/office/drawing/2010/main">
      <mc:Choice Requires="a14">
        <xdr:sp macro="" textlink="">
          <xdr:nvSpPr>
            <xdr:cNvPr id="58" name="TextBox 57">
              <a:extLst>
                <a:ext uri="{FF2B5EF4-FFF2-40B4-BE49-F238E27FC236}">
                  <a16:creationId xmlns:a16="http://schemas.microsoft.com/office/drawing/2014/main" id="{00000000-0008-0000-0200-00003A000000}"/>
                </a:ext>
              </a:extLst>
            </xdr:cNvPr>
            <xdr:cNvSpPr txBox="1"/>
          </xdr:nvSpPr>
          <xdr:spPr>
            <a:xfrm>
              <a:off x="2684929" y="17167412"/>
              <a:ext cx="1490343"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en-US" sz="1100" b="0" i="0" u="none" strike="noStrike" baseline="0" smtClean="0">
                        <a:solidFill>
                          <a:schemeClr val="tx1"/>
                        </a:solidFill>
                        <a:latin typeface="+mn-lt"/>
                        <a:ea typeface="+mn-ea"/>
                        <a:cs typeface="+mn-cs"/>
                      </a:rPr>
                      <m:t>MAX</m:t>
                    </m:r>
                    <m:r>
                      <m:rPr>
                        <m:nor/>
                      </m:rPr>
                      <a:rPr lang="en-US" sz="1100" b="0" i="0" u="none" strike="noStrike" baseline="0" smtClean="0">
                        <a:solidFill>
                          <a:schemeClr val="tx1"/>
                        </a:solidFill>
                        <a:latin typeface="+mn-lt"/>
                        <a:ea typeface="+mn-ea"/>
                        <a:cs typeface="+mn-cs"/>
                      </a:rPr>
                      <m:t>(|</m:t>
                    </m:r>
                    <m:r>
                      <m:rPr>
                        <m:nor/>
                      </m:rPr>
                      <a:rPr lang="en-US" sz="1100" b="0" i="0" u="none" strike="noStrike" baseline="0" smtClean="0">
                        <a:solidFill>
                          <a:schemeClr val="tx1"/>
                        </a:solidFill>
                        <a:latin typeface="+mn-lt"/>
                        <a:ea typeface="+mn-ea"/>
                        <a:cs typeface="+mn-cs"/>
                      </a:rPr>
                      <m:t>𝜎</m:t>
                    </m:r>
                    <m:r>
                      <m:rPr>
                        <m:nor/>
                      </m:rPr>
                      <a:rPr lang="en-US" sz="1100" b="0" i="0" u="none" strike="noStrike" baseline="-25000" smtClean="0">
                        <a:solidFill>
                          <a:schemeClr val="tx1"/>
                        </a:solidFill>
                        <a:latin typeface="+mn-lt"/>
                        <a:ea typeface="+mn-ea"/>
                        <a:cs typeface="+mn-cs"/>
                      </a:rPr>
                      <m:t>𝑀𝐴𝑋</m:t>
                    </m:r>
                    <m:r>
                      <m:rPr>
                        <m:nor/>
                      </m:rPr>
                      <a:rPr lang="en-US" sz="1100" b="0" i="0" u="none" strike="noStrike" baseline="-25000" smtClean="0">
                        <a:solidFill>
                          <a:schemeClr val="tx1"/>
                        </a:solidFill>
                        <a:latin typeface="+mn-lt"/>
                        <a:ea typeface="+mn-ea"/>
                        <a:cs typeface="+mn-cs"/>
                      </a:rPr>
                      <m:t>,</m:t>
                    </m:r>
                    <m:r>
                      <m:rPr>
                        <m:nor/>
                      </m:rPr>
                      <a:rPr lang="en-US" sz="1100" b="0" i="0" u="none" strike="noStrike" baseline="-25000" smtClean="0">
                        <a:solidFill>
                          <a:schemeClr val="tx1"/>
                        </a:solidFill>
                        <a:latin typeface="+mn-lt"/>
                        <a:ea typeface="+mn-ea"/>
                        <a:cs typeface="+mn-cs"/>
                      </a:rPr>
                      <m:t>𝑃𝑟</m:t>
                    </m:r>
                    <m:r>
                      <m:rPr>
                        <m:nor/>
                      </m:rPr>
                      <a:rPr lang="en-US" sz="1100" b="0" i="0" u="none" strike="noStrike" baseline="0" smtClean="0">
                        <a:solidFill>
                          <a:schemeClr val="tx1"/>
                        </a:solidFill>
                        <a:latin typeface="+mn-lt"/>
                        <a:ea typeface="+mn-ea"/>
                        <a:cs typeface="+mn-cs"/>
                      </a:rPr>
                      <m:t>|,|</m:t>
                    </m:r>
                    <m:r>
                      <m:rPr>
                        <m:nor/>
                      </m:rPr>
                      <a:rPr lang="en-US" sz="1100" b="0" i="0" u="none" strike="noStrike" baseline="0" smtClean="0">
                        <a:solidFill>
                          <a:schemeClr val="tx1"/>
                        </a:solidFill>
                        <a:latin typeface="+mn-lt"/>
                        <a:ea typeface="+mn-ea"/>
                        <a:cs typeface="+mn-cs"/>
                      </a:rPr>
                      <m:t>𝜎</m:t>
                    </m:r>
                    <m:r>
                      <m:rPr>
                        <m:nor/>
                      </m:rPr>
                      <a:rPr lang="en-US" sz="1100" b="0" i="0" u="none" strike="noStrike" baseline="-25000" smtClean="0">
                        <a:solidFill>
                          <a:schemeClr val="tx1"/>
                        </a:solidFill>
                        <a:latin typeface="+mn-lt"/>
                        <a:ea typeface="+mn-ea"/>
                        <a:cs typeface="+mn-cs"/>
                      </a:rPr>
                      <m:t>𝑚𝑖𝑛</m:t>
                    </m:r>
                    <m:r>
                      <m:rPr>
                        <m:nor/>
                      </m:rPr>
                      <a:rPr lang="en-US" sz="1100" b="0" i="0" u="none" strike="noStrike" baseline="-25000" smtClean="0">
                        <a:solidFill>
                          <a:schemeClr val="tx1"/>
                        </a:solidFill>
                        <a:latin typeface="+mn-lt"/>
                        <a:ea typeface="+mn-ea"/>
                        <a:cs typeface="+mn-cs"/>
                      </a:rPr>
                      <m:t>,</m:t>
                    </m:r>
                    <m:r>
                      <m:rPr>
                        <m:nor/>
                      </m:rPr>
                      <a:rPr lang="en-US" sz="1100" b="0" i="0" u="none" strike="noStrike" baseline="-25000" smtClean="0">
                        <a:solidFill>
                          <a:schemeClr val="tx1"/>
                        </a:solidFill>
                        <a:latin typeface="+mn-lt"/>
                        <a:ea typeface="+mn-ea"/>
                        <a:cs typeface="+mn-cs"/>
                      </a:rPr>
                      <m:t>𝑃𝑟</m:t>
                    </m:r>
                    <m:r>
                      <m:rPr>
                        <m:nor/>
                      </m:rPr>
                      <a:rPr lang="en-US" sz="1100" b="0" i="0" u="none" strike="noStrike" baseline="0" smtClean="0">
                        <a:solidFill>
                          <a:schemeClr val="tx1"/>
                        </a:solidFill>
                        <a:latin typeface="+mn-lt"/>
                        <a:ea typeface="+mn-ea"/>
                        <a:cs typeface="+mn-cs"/>
                      </a:rPr>
                      <m:t>|) </m:t>
                    </m:r>
                  </m:oMath>
                </m:oMathPara>
              </a14:m>
              <a:endParaRPr lang="en-US" sz="1100" baseline="-25000"/>
            </a:p>
          </xdr:txBody>
        </xdr:sp>
      </mc:Choice>
      <mc:Fallback xmlns="">
        <xdr:sp macro="" textlink="">
          <xdr:nvSpPr>
            <xdr:cNvPr id="58" name="TextBox 57"/>
            <xdr:cNvSpPr txBox="1"/>
          </xdr:nvSpPr>
          <xdr:spPr>
            <a:xfrm>
              <a:off x="2684929" y="17167412"/>
              <a:ext cx="1490343"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u="none" strike="noStrike" baseline="0" smtClean="0">
                  <a:solidFill>
                    <a:schemeClr val="tx1"/>
                  </a:solidFill>
                  <a:latin typeface="Cambria Math" panose="02040503050406030204" pitchFamily="18" charset="0"/>
                  <a:ea typeface="+mn-ea"/>
                  <a:cs typeface="+mn-cs"/>
                </a:rPr>
                <a:t>"MAX(|𝜎</a:t>
              </a:r>
              <a:r>
                <a:rPr lang="en-US" sz="1100" b="0" i="0" u="none" strike="noStrike" baseline="-25000" smtClean="0">
                  <a:solidFill>
                    <a:schemeClr val="tx1"/>
                  </a:solidFill>
                  <a:latin typeface="Cambria Math" panose="02040503050406030204" pitchFamily="18" charset="0"/>
                  <a:ea typeface="+mn-ea"/>
                  <a:cs typeface="+mn-cs"/>
                </a:rPr>
                <a:t>𝑀𝐴𝑋,𝑃𝑟</a:t>
              </a:r>
              <a:r>
                <a:rPr lang="en-US" sz="1100" b="0" i="0" u="none" strike="noStrike" baseline="0" smtClean="0">
                  <a:solidFill>
                    <a:schemeClr val="tx1"/>
                  </a:solidFill>
                  <a:latin typeface="Cambria Math" panose="02040503050406030204" pitchFamily="18" charset="0"/>
                  <a:ea typeface="+mn-ea"/>
                  <a:cs typeface="+mn-cs"/>
                </a:rPr>
                <a:t>|,|𝜎</a:t>
              </a:r>
              <a:r>
                <a:rPr lang="en-US" sz="1100" b="0" i="0" u="none" strike="noStrike" baseline="-25000" smtClean="0">
                  <a:solidFill>
                    <a:schemeClr val="tx1"/>
                  </a:solidFill>
                  <a:latin typeface="Cambria Math" panose="02040503050406030204" pitchFamily="18" charset="0"/>
                  <a:ea typeface="+mn-ea"/>
                  <a:cs typeface="+mn-cs"/>
                </a:rPr>
                <a:t>𝑚𝑖𝑛,𝑃𝑟</a:t>
              </a:r>
              <a:r>
                <a:rPr lang="en-US" sz="1100" b="0" i="0" u="none" strike="noStrike" baseline="0" smtClean="0">
                  <a:solidFill>
                    <a:schemeClr val="tx1"/>
                  </a:solidFill>
                  <a:latin typeface="Cambria Math" panose="02040503050406030204" pitchFamily="18" charset="0"/>
                  <a:ea typeface="+mn-ea"/>
                  <a:cs typeface="+mn-cs"/>
                </a:rPr>
                <a:t>|) </a:t>
              </a:r>
              <a:r>
                <a:rPr lang="en-US" sz="1100" b="0" i="0" u="none" strike="noStrike" baseline="0" smtClean="0">
                  <a:solidFill>
                    <a:schemeClr val="tx1"/>
                  </a:solidFill>
                  <a:latin typeface="+mn-lt"/>
                  <a:ea typeface="+mn-ea"/>
                  <a:cs typeface="+mn-cs"/>
                </a:rPr>
                <a:t>"</a:t>
              </a:r>
              <a:endParaRPr lang="en-US" sz="1100" baseline="-25000"/>
            </a:p>
          </xdr:txBody>
        </xdr:sp>
      </mc:Fallback>
    </mc:AlternateContent>
    <xdr:clientData/>
  </xdr:oneCellAnchor>
  <xdr:oneCellAnchor>
    <xdr:from>
      <xdr:col>1</xdr:col>
      <xdr:colOff>1190625</xdr:colOff>
      <xdr:row>91</xdr:row>
      <xdr:rowOff>7844</xdr:rowOff>
    </xdr:from>
    <xdr:ext cx="819150" cy="371475"/>
    <mc:AlternateContent xmlns:mc="http://schemas.openxmlformats.org/markup-compatibility/2006" xmlns:a14="http://schemas.microsoft.com/office/drawing/2010/main">
      <mc:Choice Requires="a14">
        <xdr:sp macro="" textlink="">
          <xdr:nvSpPr>
            <xdr:cNvPr id="62" name="TextBox 61">
              <a:extLst>
                <a:ext uri="{FF2B5EF4-FFF2-40B4-BE49-F238E27FC236}">
                  <a16:creationId xmlns:a16="http://schemas.microsoft.com/office/drawing/2014/main" id="{00000000-0008-0000-0200-00003E000000}"/>
                </a:ext>
              </a:extLst>
            </xdr:cNvPr>
            <xdr:cNvSpPr txBox="1"/>
          </xdr:nvSpPr>
          <xdr:spPr>
            <a:xfrm>
              <a:off x="3086100" y="25792019"/>
              <a:ext cx="819150"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f>
                    <m:fPr>
                      <m:ctrlPr>
                        <a:rPr lang="en-US" sz="1100" b="0" i="1" u="none" strike="noStrike" baseline="0" smtClean="0">
                          <a:solidFill>
                            <a:schemeClr val="tx1"/>
                          </a:solidFill>
                          <a:latin typeface="Cambria Math" panose="02040503050406030204" pitchFamily="18" charset="0"/>
                          <a:ea typeface="+mn-ea"/>
                          <a:cs typeface="+mn-cs"/>
                        </a:rPr>
                      </m:ctrlPr>
                    </m:fPr>
                    <m:num>
                      <m:r>
                        <m:rPr>
                          <m:nor/>
                        </m:rPr>
                        <a:rPr lang="en-US" sz="1100" b="0" i="1" u="none" strike="noStrike" baseline="0" smtClean="0">
                          <a:solidFill>
                            <a:schemeClr val="tx1"/>
                          </a:solidFill>
                          <a:latin typeface="Cambria Math" panose="02040503050406030204" pitchFamily="18" charset="0"/>
                          <a:ea typeface="+mn-ea"/>
                          <a:cs typeface="+mn-cs"/>
                        </a:rPr>
                        <m:t>F</m:t>
                      </m:r>
                      <m:r>
                        <m:rPr>
                          <m:nor/>
                        </m:rPr>
                        <a:rPr lang="en-US" sz="1100" b="0" i="0" baseline="-25000">
                          <a:solidFill>
                            <a:schemeClr val="tx1"/>
                          </a:solidFill>
                          <a:effectLst/>
                          <a:latin typeface="+mn-lt"/>
                          <a:ea typeface="+mn-ea"/>
                          <a:cs typeface="+mn-cs"/>
                        </a:rPr>
                        <m:t>allow</m:t>
                      </m:r>
                    </m:num>
                    <m:den>
                      <m:r>
                        <m:rPr>
                          <m:nor/>
                        </m:rPr>
                        <a:rPr lang="en-US" sz="1100" b="0" i="0" baseline="0">
                          <a:solidFill>
                            <a:schemeClr val="tx1"/>
                          </a:solidFill>
                          <a:effectLst/>
                          <a:latin typeface="+mn-lt"/>
                          <a:ea typeface="+mn-ea"/>
                          <a:cs typeface="+mn-cs"/>
                        </a:rPr>
                        <m:t>|</m:t>
                      </m:r>
                      <m:r>
                        <m:rPr>
                          <m:nor/>
                        </m:rPr>
                        <a:rPr lang="en-US" sz="1100" b="0" i="0" baseline="0">
                          <a:solidFill>
                            <a:schemeClr val="tx1"/>
                          </a:solidFill>
                          <a:effectLst/>
                          <a:latin typeface="+mn-lt"/>
                          <a:ea typeface="+mn-ea"/>
                          <a:cs typeface="+mn-cs"/>
                        </a:rPr>
                        <m:t>𝜎</m:t>
                      </m:r>
                      <m:r>
                        <m:rPr>
                          <m:nor/>
                        </m:rPr>
                        <a:rPr lang="en-US" sz="1100" b="0" i="0" baseline="-25000">
                          <a:solidFill>
                            <a:schemeClr val="tx1"/>
                          </a:solidFill>
                          <a:effectLst/>
                          <a:latin typeface="+mn-lt"/>
                          <a:ea typeface="+mn-ea"/>
                          <a:cs typeface="+mn-cs"/>
                        </a:rPr>
                        <m:t>buck</m:t>
                      </m:r>
                      <m:r>
                        <m:rPr>
                          <m:nor/>
                        </m:rPr>
                        <a:rPr lang="en-US" sz="1100" b="0" i="0" baseline="0">
                          <a:solidFill>
                            <a:schemeClr val="tx1"/>
                          </a:solidFill>
                          <a:effectLst/>
                          <a:latin typeface="+mn-lt"/>
                          <a:ea typeface="+mn-ea"/>
                          <a:cs typeface="+mn-cs"/>
                        </a:rPr>
                        <m:t>| </m:t>
                      </m:r>
                    </m:den>
                  </m:f>
                </m:oMath>
              </a14:m>
              <a:r>
                <a:rPr lang="en-US" sz="1100" b="0" i="0" u="none" strike="noStrike" baseline="0">
                  <a:solidFill>
                    <a:schemeClr val="tx1"/>
                  </a:solidFill>
                  <a:latin typeface="+mn-lt"/>
                  <a:ea typeface="+mn-ea"/>
                  <a:cs typeface="+mn-cs"/>
                </a:rPr>
                <a:t> - 1</a:t>
              </a:r>
            </a:p>
          </xdr:txBody>
        </xdr:sp>
      </mc:Choice>
      <mc:Fallback xmlns="">
        <xdr:sp macro="" textlink="">
          <xdr:nvSpPr>
            <xdr:cNvPr id="62" name="TextBox 61"/>
            <xdr:cNvSpPr txBox="1"/>
          </xdr:nvSpPr>
          <xdr:spPr>
            <a:xfrm>
              <a:off x="3086100" y="25792019"/>
              <a:ext cx="819150"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n-US" sz="1100" b="0" i="0" u="none" strike="noStrike" baseline="0" smtClean="0">
                  <a:solidFill>
                    <a:schemeClr val="tx1"/>
                  </a:solidFill>
                  <a:latin typeface="Cambria Math" panose="02040503050406030204" pitchFamily="18" charset="0"/>
                  <a:ea typeface="+mn-ea"/>
                  <a:cs typeface="+mn-cs"/>
                </a:rPr>
                <a:t>"F</a:t>
              </a:r>
              <a:r>
                <a:rPr lang="en-US" sz="1100" b="0" i="0" baseline="-25000">
                  <a:solidFill>
                    <a:schemeClr val="tx1"/>
                  </a:solidFill>
                  <a:effectLst/>
                  <a:latin typeface="+mn-lt"/>
                  <a:ea typeface="+mn-ea"/>
                  <a:cs typeface="+mn-cs"/>
                </a:rPr>
                <a:t>allow</a:t>
              </a:r>
              <a:r>
                <a:rPr lang="en-US" sz="1100" b="0" i="0" baseline="-25000">
                  <a:solidFill>
                    <a:schemeClr val="tx1"/>
                  </a:solidFill>
                  <a:effectLst/>
                  <a:latin typeface="Cambria Math" panose="02040503050406030204" pitchFamily="18" charset="0"/>
                  <a:ea typeface="+mn-ea"/>
                  <a:cs typeface="+mn-cs"/>
                </a:rPr>
                <a:t>" </a:t>
              </a:r>
              <a:r>
                <a:rPr lang="en-US" sz="1100" b="0" i="0" u="none" strike="noStrike" baseline="0" smtClean="0">
                  <a:solidFill>
                    <a:schemeClr val="tx1"/>
                  </a:solidFill>
                  <a:effectLst/>
                  <a:latin typeface="Cambria Math" panose="02040503050406030204" pitchFamily="18" charset="0"/>
                  <a:ea typeface="+mn-ea"/>
                  <a:cs typeface="+mn-cs"/>
                </a:rPr>
                <a:t>/</a:t>
              </a:r>
              <a:r>
                <a:rPr lang="en-US" sz="1100" b="0" i="0" u="none" strike="noStrike" baseline="0">
                  <a:solidFill>
                    <a:schemeClr val="tx1"/>
                  </a:solidFill>
                  <a:effectLst/>
                  <a:latin typeface="+mn-lt"/>
                  <a:ea typeface="+mn-ea"/>
                  <a:cs typeface="+mn-cs"/>
                </a:rPr>
                <a:t>"</a:t>
              </a:r>
              <a:r>
                <a:rPr lang="en-US" sz="1100" b="0" i="0" baseline="0">
                  <a:solidFill>
                    <a:schemeClr val="tx1"/>
                  </a:solidFill>
                  <a:effectLst/>
                  <a:latin typeface="+mn-lt"/>
                  <a:ea typeface="+mn-ea"/>
                  <a:cs typeface="+mn-cs"/>
                </a:rPr>
                <a:t>|𝜎</a:t>
              </a:r>
              <a:r>
                <a:rPr lang="en-US" sz="1100" b="0" i="0" baseline="-25000">
                  <a:solidFill>
                    <a:schemeClr val="tx1"/>
                  </a:solidFill>
                  <a:effectLst/>
                  <a:latin typeface="+mn-lt"/>
                  <a:ea typeface="+mn-ea"/>
                  <a:cs typeface="+mn-cs"/>
                </a:rPr>
                <a:t>buck</a:t>
              </a:r>
              <a:r>
                <a:rPr lang="en-US" sz="1100" b="0" i="0" baseline="0">
                  <a:solidFill>
                    <a:schemeClr val="tx1"/>
                  </a:solidFill>
                  <a:effectLst/>
                  <a:latin typeface="+mn-lt"/>
                  <a:ea typeface="+mn-ea"/>
                  <a:cs typeface="+mn-cs"/>
                </a:rPr>
                <a:t>| </a:t>
              </a:r>
              <a:r>
                <a:rPr lang="en-US" sz="1100" b="0" i="0" baseline="0">
                  <a:solidFill>
                    <a:schemeClr val="tx1"/>
                  </a:solidFill>
                  <a:effectLst/>
                  <a:latin typeface="Cambria Math" panose="02040503050406030204" pitchFamily="18" charset="0"/>
                  <a:ea typeface="+mn-ea"/>
                  <a:cs typeface="+mn-cs"/>
                </a:rPr>
                <a:t>" </a:t>
              </a:r>
              <a:r>
                <a:rPr lang="en-US" sz="1100" b="0" i="0" u="none" strike="noStrike" baseline="0" smtClean="0">
                  <a:solidFill>
                    <a:schemeClr val="tx1"/>
                  </a:solidFill>
                  <a:latin typeface="+mn-lt"/>
                  <a:ea typeface="+mn-ea"/>
                  <a:cs typeface="+mn-cs"/>
                </a:rPr>
                <a:t> - 1</a:t>
              </a:r>
            </a:p>
          </xdr:txBody>
        </xdr:sp>
      </mc:Fallback>
    </mc:AlternateContent>
    <xdr:clientData/>
  </xdr:oneCellAnchor>
  <xdr:oneCellAnchor>
    <xdr:from>
      <xdr:col>1</xdr:col>
      <xdr:colOff>809625</xdr:colOff>
      <xdr:row>90</xdr:row>
      <xdr:rowOff>127188</xdr:rowOff>
    </xdr:from>
    <xdr:ext cx="1388969" cy="172227"/>
    <mc:AlternateContent xmlns:mc="http://schemas.openxmlformats.org/markup-compatibility/2006" xmlns:a14="http://schemas.microsoft.com/office/drawing/2010/main">
      <mc:Choice Requires="a14">
        <xdr:sp macro="" textlink="">
          <xdr:nvSpPr>
            <xdr:cNvPr id="66" name="TextBox 65">
              <a:extLst>
                <a:ext uri="{FF2B5EF4-FFF2-40B4-BE49-F238E27FC236}">
                  <a16:creationId xmlns:a16="http://schemas.microsoft.com/office/drawing/2014/main" id="{00000000-0008-0000-0200-000042000000}"/>
                </a:ext>
              </a:extLst>
            </xdr:cNvPr>
            <xdr:cNvSpPr txBox="1"/>
          </xdr:nvSpPr>
          <xdr:spPr>
            <a:xfrm>
              <a:off x="2847975" y="25130313"/>
              <a:ext cx="138896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r>
                    <m:rPr>
                      <m:sty m:val="p"/>
                    </m:rPr>
                    <a:rPr lang="en-US" sz="1100" i="0">
                      <a:latin typeface="Cambria Math" panose="02040503050406030204" pitchFamily="18" charset="0"/>
                      <a:ea typeface="Cambria Math" panose="02040503050406030204" pitchFamily="18" charset="0"/>
                    </a:rPr>
                    <m:t>min</m:t>
                  </m:r>
                  <m:r>
                    <a:rPr lang="en-US" sz="1100" b="0" i="1">
                      <a:latin typeface="Cambria Math" panose="02040503050406030204" pitchFamily="18" charset="0"/>
                      <a:ea typeface="Cambria Math" panose="02040503050406030204" pitchFamily="18" charset="0"/>
                    </a:rPr>
                    <m:t>⁡(</m:t>
                  </m:r>
                  <m:r>
                    <a:rPr lang="en-US" sz="1100" i="1">
                      <a:solidFill>
                        <a:schemeClr val="tx1"/>
                      </a:solidFill>
                      <a:effectLst/>
                      <a:latin typeface="Cambria Math" panose="02040503050406030204" pitchFamily="18" charset="0"/>
                      <a:ea typeface="+mn-ea"/>
                      <a:cs typeface="+mn-cs"/>
                    </a:rPr>
                    <m:t>𝐹</m:t>
                  </m:r>
                  <m:r>
                    <a:rPr lang="en-US" sz="1100" b="0" i="1" baseline="-25000">
                      <a:solidFill>
                        <a:schemeClr val="tx1"/>
                      </a:solidFill>
                      <a:effectLst/>
                      <a:latin typeface="Cambria Math" panose="02040503050406030204" pitchFamily="18" charset="0"/>
                      <a:ea typeface="+mn-ea"/>
                      <a:cs typeface="+mn-cs"/>
                    </a:rPr>
                    <m:t>𝑐𝑟</m:t>
                  </m:r>
                  <m:r>
                    <a:rPr lang="en-US" sz="1100" b="0" i="1" baseline="-25000">
                      <a:solidFill>
                        <a:schemeClr val="tx1"/>
                      </a:solidFill>
                      <a:effectLst/>
                      <a:latin typeface="Cambria Math" panose="02040503050406030204" pitchFamily="18" charset="0"/>
                      <a:ea typeface="+mn-ea"/>
                      <a:cs typeface="+mn-cs"/>
                    </a:rPr>
                    <m:t> </m:t>
                  </m:r>
                  <m:r>
                    <a:rPr lang="en-US" sz="1100" b="0" i="1" baseline="-25000">
                      <a:solidFill>
                        <a:schemeClr val="tx1"/>
                      </a:solidFill>
                      <a:effectLst/>
                      <a:latin typeface="Cambria Math" panose="02040503050406030204" pitchFamily="18" charset="0"/>
                      <a:ea typeface="+mn-ea"/>
                      <a:cs typeface="+mn-cs"/>
                    </a:rPr>
                    <m:t>𝑐</m:t>
                  </m:r>
                  <m:r>
                    <a:rPr lang="en-US" sz="1100" b="0" i="1" baseline="-25000">
                      <a:solidFill>
                        <a:schemeClr val="tx1"/>
                      </a:solidFill>
                      <a:effectLst/>
                      <a:latin typeface="Cambria Math" panose="02040503050406030204" pitchFamily="18" charset="0"/>
                      <a:ea typeface="+mn-ea"/>
                      <a:cs typeface="+mn-cs"/>
                    </a:rPr>
                    <m:t>,</m:t>
                  </m:r>
                  <m:r>
                    <a:rPr lang="en-US" sz="1100" b="0" i="1" baseline="-25000">
                      <a:solidFill>
                        <a:schemeClr val="tx1"/>
                      </a:solidFill>
                      <a:effectLst/>
                      <a:latin typeface="Cambria Math" panose="02040503050406030204" pitchFamily="18" charset="0"/>
                      <a:ea typeface="+mn-ea"/>
                      <a:cs typeface="+mn-cs"/>
                    </a:rPr>
                    <m:t>𝑠</m:t>
                  </m:r>
                </m:oMath>
              </a14:m>
              <a:r>
                <a:rPr lang="en-US">
                  <a:effectLst/>
                </a:rPr>
                <a:t>, Fcy x TRF)</a:t>
              </a:r>
              <a:endParaRPr lang="en-US" sz="1100" baseline="-25000"/>
            </a:p>
          </xdr:txBody>
        </xdr:sp>
      </mc:Choice>
      <mc:Fallback xmlns="">
        <xdr:sp macro="" textlink="">
          <xdr:nvSpPr>
            <xdr:cNvPr id="66" name="TextBox 65"/>
            <xdr:cNvSpPr txBox="1"/>
          </xdr:nvSpPr>
          <xdr:spPr>
            <a:xfrm>
              <a:off x="2847975" y="25130313"/>
              <a:ext cx="138896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1100" i="0">
                  <a:latin typeface="Cambria Math" panose="02040503050406030204" pitchFamily="18" charset="0"/>
                  <a:ea typeface="Cambria Math" panose="02040503050406030204" pitchFamily="18" charset="0"/>
                </a:rPr>
                <a:t>min</a:t>
              </a:r>
              <a:r>
                <a:rPr lang="en-US" sz="1100" b="0" i="0">
                  <a:latin typeface="Cambria Math" panose="02040503050406030204" pitchFamily="18" charset="0"/>
                  <a:ea typeface="Cambria Math" panose="02040503050406030204" pitchFamily="18" charset="0"/>
                </a:rPr>
                <a:t>⁡(</a:t>
              </a:r>
              <a:r>
                <a:rPr lang="en-US" sz="1100" i="0">
                  <a:solidFill>
                    <a:schemeClr val="tx1"/>
                  </a:solidFill>
                  <a:effectLst/>
                  <a:latin typeface="Cambria Math" panose="02040503050406030204" pitchFamily="18" charset="0"/>
                  <a:ea typeface="+mn-ea"/>
                  <a:cs typeface="+mn-cs"/>
                </a:rPr>
                <a:t>𝐹</a:t>
              </a:r>
              <a:r>
                <a:rPr lang="en-US" sz="1100" b="0" i="0" baseline="-25000">
                  <a:solidFill>
                    <a:schemeClr val="tx1"/>
                  </a:solidFill>
                  <a:effectLst/>
                  <a:latin typeface="Cambria Math" panose="02040503050406030204" pitchFamily="18" charset="0"/>
                  <a:ea typeface="+mn-ea"/>
                  <a:cs typeface="+mn-cs"/>
                </a:rPr>
                <a:t>𝑐𝑟 𝑐,𝑠</a:t>
              </a:r>
              <a:r>
                <a:rPr lang="en-US">
                  <a:effectLst/>
                </a:rPr>
                <a:t>, Fcy x TRF)</a:t>
              </a:r>
              <a:endParaRPr lang="en-US" sz="1100" baseline="-25000"/>
            </a:p>
          </xdr:txBody>
        </xdr:sp>
      </mc:Fallback>
    </mc:AlternateContent>
    <xdr:clientData/>
  </xdr:oneCellAnchor>
  <xdr:oneCellAnchor>
    <xdr:from>
      <xdr:col>1</xdr:col>
      <xdr:colOff>309843</xdr:colOff>
      <xdr:row>85</xdr:row>
      <xdr:rowOff>77881</xdr:rowOff>
    </xdr:from>
    <xdr:ext cx="2291603" cy="425824"/>
    <mc:AlternateContent xmlns:mc="http://schemas.openxmlformats.org/markup-compatibility/2006" xmlns:a14="http://schemas.microsoft.com/office/drawing/2010/main">
      <mc:Choice Requires="a14">
        <xdr:sp macro="" textlink="">
          <xdr:nvSpPr>
            <xdr:cNvPr id="68" name="TextBox 67">
              <a:extLst>
                <a:ext uri="{FF2B5EF4-FFF2-40B4-BE49-F238E27FC236}">
                  <a16:creationId xmlns:a16="http://schemas.microsoft.com/office/drawing/2014/main" id="{00000000-0008-0000-0200-000044000000}"/>
                </a:ext>
              </a:extLst>
            </xdr:cNvPr>
            <xdr:cNvSpPr txBox="1"/>
          </xdr:nvSpPr>
          <xdr:spPr>
            <a:xfrm>
              <a:off x="2348193" y="23414131"/>
              <a:ext cx="2291603" cy="4258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r>
                    <a:rPr lang="en-US" sz="1100" i="1">
                      <a:solidFill>
                        <a:schemeClr val="tx1"/>
                      </a:solidFill>
                      <a:effectLst/>
                      <a:latin typeface="Cambria Math" panose="02040503050406030204" pitchFamily="18" charset="0"/>
                      <a:ea typeface="+mn-ea"/>
                      <a:cs typeface="+mn-cs"/>
                    </a:rPr>
                    <m:t>𝜎</m:t>
                  </m:r>
                  <m:r>
                    <a:rPr lang="en-US" sz="1100" b="0" i="1" baseline="-25000">
                      <a:solidFill>
                        <a:schemeClr val="tx1"/>
                      </a:solidFill>
                      <a:effectLst/>
                      <a:latin typeface="Cambria Math" panose="02040503050406030204" pitchFamily="18" charset="0"/>
                      <a:ea typeface="+mn-ea"/>
                      <a:cs typeface="+mn-cs"/>
                    </a:rPr>
                    <m:t>𝑚𝑖𝑛</m:t>
                  </m:r>
                  <m:r>
                    <a:rPr lang="en-US" sz="1100" b="0" i="1" baseline="-25000">
                      <a:solidFill>
                        <a:schemeClr val="tx1"/>
                      </a:solidFill>
                      <a:effectLst/>
                      <a:latin typeface="Cambria Math" panose="02040503050406030204" pitchFamily="18" charset="0"/>
                      <a:ea typeface="+mn-ea"/>
                      <a:cs typeface="+mn-cs"/>
                    </a:rPr>
                    <m:t>.</m:t>
                  </m:r>
                  <m:r>
                    <a:rPr lang="en-US" sz="1100" b="0" i="1" baseline="-25000">
                      <a:solidFill>
                        <a:schemeClr val="tx1"/>
                      </a:solidFill>
                      <a:effectLst/>
                      <a:latin typeface="Cambria Math" panose="02040503050406030204" pitchFamily="18" charset="0"/>
                      <a:ea typeface="+mn-ea"/>
                      <a:cs typeface="+mn-cs"/>
                    </a:rPr>
                    <m:t>𝑝𝑟</m:t>
                  </m:r>
                </m:oMath>
              </a14:m>
              <a:r>
                <a:rPr lang="en-US" sz="1100" b="0" i="0" u="none" strike="noStrike" baseline="0">
                  <a:solidFill>
                    <a:schemeClr val="tx1"/>
                  </a:solidFill>
                  <a:latin typeface="+mn-lt"/>
                  <a:ea typeface="+mn-ea"/>
                  <a:cs typeface="+mn-cs"/>
                </a:rPr>
                <a:t> + 1.8M</a:t>
              </a:r>
              <a:r>
                <a:rPr lang="en-US" sz="1100" b="0" i="0" u="none" strike="noStrike" baseline="-25000">
                  <a:solidFill>
                    <a:schemeClr val="tx1"/>
                  </a:solidFill>
                  <a:latin typeface="+mn-lt"/>
                  <a:ea typeface="+mn-ea"/>
                  <a:cs typeface="+mn-cs"/>
                </a:rPr>
                <a:t>dent</a:t>
              </a:r>
              <a:r>
                <a:rPr lang="en-US" sz="1100" b="0" i="0" u="none" strike="noStrike" baseline="0">
                  <a:solidFill>
                    <a:schemeClr val="tx1"/>
                  </a:solidFill>
                  <a:latin typeface="+mn-lt"/>
                  <a:ea typeface="+mn-ea"/>
                  <a:cs typeface="+mn-cs"/>
                </a:rPr>
                <a:t>/t</a:t>
              </a:r>
              <a:r>
                <a:rPr lang="en-US" sz="1100" b="0" i="0" u="none" strike="noStrike" baseline="30000">
                  <a:solidFill>
                    <a:schemeClr val="tx1"/>
                  </a:solidFill>
                  <a:latin typeface="+mn-lt"/>
                  <a:ea typeface="+mn-ea"/>
                  <a:cs typeface="+mn-cs"/>
                </a:rPr>
                <a:t>2</a:t>
              </a:r>
              <a:r>
                <a:rPr lang="en-US" sz="1100" b="0" i="0" u="none" strike="noStrike" baseline="0">
                  <a:solidFill>
                    <a:schemeClr val="tx1"/>
                  </a:solidFill>
                  <a:latin typeface="+mn-lt"/>
                  <a:ea typeface="+mn-ea"/>
                  <a:cs typeface="+mn-cs"/>
                </a:rPr>
                <a:t> , if d&gt;t AND e</a:t>
              </a:r>
              <a:r>
                <a:rPr lang="en-US" sz="1100" b="0" i="0" u="none" strike="noStrike" baseline="-25000">
                  <a:solidFill>
                    <a:schemeClr val="tx1"/>
                  </a:solidFill>
                  <a:latin typeface="+mn-lt"/>
                  <a:ea typeface="+mn-ea"/>
                  <a:cs typeface="+mn-cs"/>
                </a:rPr>
                <a:t>m</a:t>
              </a:r>
              <a:r>
                <a:rPr lang="en-US" sz="1100" b="0" i="0" u="none" strike="noStrike" baseline="0">
                  <a:solidFill>
                    <a:schemeClr val="tx1"/>
                  </a:solidFill>
                  <a:latin typeface="+mn-lt"/>
                  <a:ea typeface="+mn-ea"/>
                  <a:cs typeface="+mn-cs"/>
                </a:rPr>
                <a:t>/D&lt;2</a:t>
              </a:r>
              <a:r>
                <a:rPr lang="en-US" sz="1100" b="0" i="0" baseline="0">
                  <a:solidFill>
                    <a:schemeClr val="tx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r>
                    <a:rPr lang="en-US" sz="1100" i="1">
                      <a:solidFill>
                        <a:schemeClr val="tx1"/>
                      </a:solidFill>
                      <a:effectLst/>
                      <a:latin typeface="Cambria Math" panose="02040503050406030204" pitchFamily="18" charset="0"/>
                      <a:ea typeface="+mn-ea"/>
                      <a:cs typeface="+mn-cs"/>
                    </a:rPr>
                    <m:t>𝜎</m:t>
                  </m:r>
                  <m:r>
                    <a:rPr lang="en-US" sz="1100" b="0" i="1" baseline="-25000">
                      <a:solidFill>
                        <a:schemeClr val="tx1"/>
                      </a:solidFill>
                      <a:effectLst/>
                      <a:latin typeface="Cambria Math" panose="02040503050406030204" pitchFamily="18" charset="0"/>
                      <a:ea typeface="+mn-ea"/>
                      <a:cs typeface="+mn-cs"/>
                    </a:rPr>
                    <m:t>𝑚𝑖𝑛</m:t>
                  </m:r>
                  <m:r>
                    <a:rPr lang="en-US" sz="1100" b="0" i="1" baseline="-25000">
                      <a:solidFill>
                        <a:schemeClr val="tx1"/>
                      </a:solidFill>
                      <a:effectLst/>
                      <a:latin typeface="Cambria Math" panose="02040503050406030204" pitchFamily="18" charset="0"/>
                      <a:ea typeface="+mn-ea"/>
                      <a:cs typeface="+mn-cs"/>
                    </a:rPr>
                    <m:t>.</m:t>
                  </m:r>
                  <m:r>
                    <a:rPr lang="en-US" sz="1100" b="0" i="1" baseline="-25000">
                      <a:solidFill>
                        <a:schemeClr val="tx1"/>
                      </a:solidFill>
                      <a:effectLst/>
                      <a:latin typeface="Cambria Math" panose="02040503050406030204" pitchFamily="18" charset="0"/>
                      <a:ea typeface="+mn-ea"/>
                      <a:cs typeface="+mn-cs"/>
                    </a:rPr>
                    <m:t>𝑝𝑟</m:t>
                  </m:r>
                </m:oMath>
              </a14:m>
              <a:r>
                <a:rPr lang="en-US" sz="1100" b="0" i="0" baseline="0">
                  <a:solidFill>
                    <a:schemeClr val="tx1"/>
                  </a:solidFill>
                  <a:effectLst/>
                  <a:latin typeface="+mn-lt"/>
                  <a:ea typeface="+mn-ea"/>
                  <a:cs typeface="+mn-cs"/>
                </a:rPr>
                <a:t> 	        , Otherwise</a:t>
              </a:r>
              <a:endParaRPr lang="en-US">
                <a:effectLst/>
              </a:endParaRPr>
            </a:p>
          </xdr:txBody>
        </xdr:sp>
      </mc:Choice>
      <mc:Fallback xmlns="">
        <xdr:sp macro="" textlink="">
          <xdr:nvSpPr>
            <xdr:cNvPr id="68" name="TextBox 67">
              <a:extLst>
                <a:ext uri="{FF2B5EF4-FFF2-40B4-BE49-F238E27FC236}">
                  <a16:creationId xmlns:a16="http://schemas.microsoft.com/office/drawing/2014/main" id="{00000000-0008-0000-0200-000044000000}"/>
                </a:ext>
              </a:extLst>
            </xdr:cNvPr>
            <xdr:cNvSpPr txBox="1"/>
          </xdr:nvSpPr>
          <xdr:spPr>
            <a:xfrm>
              <a:off x="2348193" y="23414131"/>
              <a:ext cx="2291603" cy="4258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1100" i="0">
                  <a:solidFill>
                    <a:schemeClr val="tx1"/>
                  </a:solidFill>
                  <a:effectLst/>
                  <a:latin typeface="Cambria Math" panose="02040503050406030204" pitchFamily="18" charset="0"/>
                  <a:ea typeface="+mn-ea"/>
                  <a:cs typeface="+mn-cs"/>
                </a:rPr>
                <a:t>𝜎</a:t>
              </a:r>
              <a:r>
                <a:rPr lang="en-US" sz="1100" b="0" i="0" baseline="-25000">
                  <a:solidFill>
                    <a:schemeClr val="tx1"/>
                  </a:solidFill>
                  <a:effectLst/>
                  <a:latin typeface="Cambria Math" panose="02040503050406030204" pitchFamily="18" charset="0"/>
                  <a:ea typeface="+mn-ea"/>
                  <a:cs typeface="+mn-cs"/>
                </a:rPr>
                <a:t>𝑚𝑖𝑛.𝑝𝑟</a:t>
              </a:r>
              <a:r>
                <a:rPr lang="en-US" sz="1100" b="0" i="0" u="none" strike="noStrike" baseline="0">
                  <a:solidFill>
                    <a:schemeClr val="tx1"/>
                  </a:solidFill>
                  <a:latin typeface="+mn-lt"/>
                  <a:ea typeface="+mn-ea"/>
                  <a:cs typeface="+mn-cs"/>
                </a:rPr>
                <a:t> + 1.8M</a:t>
              </a:r>
              <a:r>
                <a:rPr lang="en-US" sz="1100" b="0" i="0" u="none" strike="noStrike" baseline="-25000">
                  <a:solidFill>
                    <a:schemeClr val="tx1"/>
                  </a:solidFill>
                  <a:latin typeface="+mn-lt"/>
                  <a:ea typeface="+mn-ea"/>
                  <a:cs typeface="+mn-cs"/>
                </a:rPr>
                <a:t>dent</a:t>
              </a:r>
              <a:r>
                <a:rPr lang="en-US" sz="1100" b="0" i="0" u="none" strike="noStrike" baseline="0">
                  <a:solidFill>
                    <a:schemeClr val="tx1"/>
                  </a:solidFill>
                  <a:latin typeface="+mn-lt"/>
                  <a:ea typeface="+mn-ea"/>
                  <a:cs typeface="+mn-cs"/>
                </a:rPr>
                <a:t>/t</a:t>
              </a:r>
              <a:r>
                <a:rPr lang="en-US" sz="1100" b="0" i="0" u="none" strike="noStrike" baseline="30000">
                  <a:solidFill>
                    <a:schemeClr val="tx1"/>
                  </a:solidFill>
                  <a:latin typeface="+mn-lt"/>
                  <a:ea typeface="+mn-ea"/>
                  <a:cs typeface="+mn-cs"/>
                </a:rPr>
                <a:t>2</a:t>
              </a:r>
              <a:r>
                <a:rPr lang="en-US" sz="1100" b="0" i="0" u="none" strike="noStrike" baseline="0">
                  <a:solidFill>
                    <a:schemeClr val="tx1"/>
                  </a:solidFill>
                  <a:latin typeface="+mn-lt"/>
                  <a:ea typeface="+mn-ea"/>
                  <a:cs typeface="+mn-cs"/>
                </a:rPr>
                <a:t> , if d&gt;t AND e</a:t>
              </a:r>
              <a:r>
                <a:rPr lang="en-US" sz="1100" b="0" i="0" u="none" strike="noStrike" baseline="-25000">
                  <a:solidFill>
                    <a:schemeClr val="tx1"/>
                  </a:solidFill>
                  <a:latin typeface="+mn-lt"/>
                  <a:ea typeface="+mn-ea"/>
                  <a:cs typeface="+mn-cs"/>
                </a:rPr>
                <a:t>m</a:t>
              </a:r>
              <a:r>
                <a:rPr lang="en-US" sz="1100" b="0" i="0" u="none" strike="noStrike" baseline="0">
                  <a:solidFill>
                    <a:schemeClr val="tx1"/>
                  </a:solidFill>
                  <a:latin typeface="+mn-lt"/>
                  <a:ea typeface="+mn-ea"/>
                  <a:cs typeface="+mn-cs"/>
                </a:rPr>
                <a:t>/D&lt;2</a:t>
              </a:r>
              <a:r>
                <a:rPr lang="en-US" sz="1100" b="0" i="0" baseline="0">
                  <a:solidFill>
                    <a:schemeClr val="tx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r>
                <a:rPr lang="en-US" sz="1100" i="0">
                  <a:solidFill>
                    <a:schemeClr val="tx1"/>
                  </a:solidFill>
                  <a:effectLst/>
                  <a:latin typeface="Cambria Math" panose="02040503050406030204" pitchFamily="18" charset="0"/>
                  <a:ea typeface="+mn-ea"/>
                  <a:cs typeface="+mn-cs"/>
                </a:rPr>
                <a:t>𝜎</a:t>
              </a:r>
              <a:r>
                <a:rPr lang="en-US" sz="1100" b="0" i="0" baseline="-25000">
                  <a:solidFill>
                    <a:schemeClr val="tx1"/>
                  </a:solidFill>
                  <a:effectLst/>
                  <a:latin typeface="Cambria Math" panose="02040503050406030204" pitchFamily="18" charset="0"/>
                  <a:ea typeface="+mn-ea"/>
                  <a:cs typeface="+mn-cs"/>
                </a:rPr>
                <a:t>𝑚𝑖𝑛.𝑝𝑟</a:t>
              </a:r>
              <a:r>
                <a:rPr lang="en-US" sz="1100" b="0" i="0" baseline="0">
                  <a:solidFill>
                    <a:schemeClr val="tx1"/>
                  </a:solidFill>
                  <a:effectLst/>
                  <a:latin typeface="+mn-lt"/>
                  <a:ea typeface="+mn-ea"/>
                  <a:cs typeface="+mn-cs"/>
                </a:rPr>
                <a:t> 	        , Otherwise</a:t>
              </a:r>
              <a:endParaRPr lang="en-US">
                <a:effectLst/>
              </a:endParaRPr>
            </a:p>
          </xdr:txBody>
        </xdr:sp>
      </mc:Fallback>
    </mc:AlternateContent>
    <xdr:clientData/>
  </xdr:oneCellAnchor>
  <xdr:oneCellAnchor>
    <xdr:from>
      <xdr:col>1</xdr:col>
      <xdr:colOff>655865</xdr:colOff>
      <xdr:row>121</xdr:row>
      <xdr:rowOff>55789</xdr:rowOff>
    </xdr:from>
    <xdr:ext cx="1676400" cy="390525"/>
    <mc:AlternateContent xmlns:mc="http://schemas.openxmlformats.org/markup-compatibility/2006" xmlns:a14="http://schemas.microsoft.com/office/drawing/2010/main">
      <mc:Choice Requires="a14">
        <xdr:sp macro="" textlink="">
          <xdr:nvSpPr>
            <xdr:cNvPr id="78" name="TextBox 77">
              <a:extLst>
                <a:ext uri="{FF2B5EF4-FFF2-40B4-BE49-F238E27FC236}">
                  <a16:creationId xmlns:a16="http://schemas.microsoft.com/office/drawing/2014/main" id="{00000000-0008-0000-0200-00004E000000}"/>
                </a:ext>
              </a:extLst>
            </xdr:cNvPr>
            <xdr:cNvSpPr txBox="1"/>
          </xdr:nvSpPr>
          <xdr:spPr>
            <a:xfrm>
              <a:off x="2696936" y="31461075"/>
              <a:ext cx="1676400" cy="3905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f>
                      <m:fPr>
                        <m:ctrlPr>
                          <a:rPr lang="en-US" sz="1100" b="0" i="1" u="none" strike="noStrike" baseline="0" smtClean="0">
                            <a:solidFill>
                              <a:schemeClr val="tx1"/>
                            </a:solidFill>
                            <a:latin typeface="Cambria Math" panose="02040503050406030204" pitchFamily="18" charset="0"/>
                            <a:ea typeface="+mn-ea"/>
                            <a:cs typeface="+mn-cs"/>
                          </a:rPr>
                        </m:ctrlPr>
                      </m:fPr>
                      <m:num>
                        <m:r>
                          <m:rPr>
                            <m:sty m:val="p"/>
                          </m:rPr>
                          <a:rPr lang="en-US" sz="1100" b="0" i="0" u="none" strike="noStrike" baseline="0" smtClean="0">
                            <a:solidFill>
                              <a:schemeClr val="tx1"/>
                            </a:solidFill>
                            <a:latin typeface="Cambria Math" panose="02040503050406030204" pitchFamily="18" charset="0"/>
                            <a:ea typeface="+mn-ea"/>
                            <a:cs typeface="+mn-cs"/>
                          </a:rPr>
                          <m:t>max</m:t>
                        </m:r>
                        <m:r>
                          <a:rPr lang="en-US" sz="1100" b="0" i="1" u="none" strike="noStrike" baseline="0" smtClean="0">
                            <a:solidFill>
                              <a:schemeClr val="tx1"/>
                            </a:solidFill>
                            <a:latin typeface="Cambria Math" panose="02040503050406030204" pitchFamily="18" charset="0"/>
                            <a:ea typeface="+mn-ea"/>
                            <a:cs typeface="+mn-cs"/>
                          </a:rPr>
                          <m:t>⁡(</m:t>
                        </m:r>
                        <m:r>
                          <a:rPr lang="en-US" sz="1100" b="0" i="1" u="none" strike="noStrike" baseline="0" smtClean="0">
                            <a:solidFill>
                              <a:schemeClr val="tx1"/>
                            </a:solidFill>
                            <a:latin typeface="Cambria Math" panose="02040503050406030204" pitchFamily="18" charset="0"/>
                            <a:ea typeface="+mn-ea"/>
                            <a:cs typeface="+mn-cs"/>
                          </a:rPr>
                          <m:t>𝐿𝑛</m:t>
                        </m:r>
                        <m:r>
                          <a:rPr lang="en-US" sz="1100" b="0" i="1" u="none" strike="noStrike" baseline="0" smtClean="0">
                            <a:solidFill>
                              <a:schemeClr val="tx1"/>
                            </a:solidFill>
                            <a:latin typeface="Cambria Math" panose="02040503050406030204" pitchFamily="18" charset="0"/>
                            <a:ea typeface="+mn-ea"/>
                            <a:cs typeface="+mn-cs"/>
                          </a:rPr>
                          <m:t>, </m:t>
                        </m:r>
                        <m:r>
                          <a:rPr lang="en-US" sz="1100" b="0" i="1" u="none" strike="noStrike" baseline="0" smtClean="0">
                            <a:solidFill>
                              <a:schemeClr val="tx1"/>
                            </a:solidFill>
                            <a:latin typeface="Cambria Math" panose="02040503050406030204" pitchFamily="18" charset="0"/>
                            <a:ea typeface="+mn-ea"/>
                            <a:cs typeface="+mn-cs"/>
                          </a:rPr>
                          <m:t>𝑊𝑛</m:t>
                        </m:r>
                        <m:r>
                          <a:rPr lang="en-US" sz="1100" b="0" i="1" u="none" strike="noStrike" baseline="0" smtClean="0">
                            <a:solidFill>
                              <a:schemeClr val="tx1"/>
                            </a:solidFill>
                            <a:latin typeface="Cambria Math" panose="02040503050406030204" pitchFamily="18" charset="0"/>
                            <a:ea typeface="+mn-ea"/>
                            <a:cs typeface="+mn-cs"/>
                          </a:rPr>
                          <m:t>)</m:t>
                        </m:r>
                      </m:num>
                      <m:den>
                        <m:r>
                          <m:rPr>
                            <m:sty m:val="p"/>
                          </m:rPr>
                          <a:rPr lang="en-US" sz="1100" b="0" i="0" baseline="0">
                            <a:solidFill>
                              <a:schemeClr val="tx1"/>
                            </a:solidFill>
                            <a:effectLst/>
                            <a:latin typeface="Cambria Math" panose="02040503050406030204" pitchFamily="18" charset="0"/>
                            <a:ea typeface="+mn-ea"/>
                            <a:cs typeface="+mn-cs"/>
                          </a:rPr>
                          <m:t>min</m:t>
                        </m:r>
                        <m:r>
                          <a:rPr lang="en-US" sz="1100" b="0" i="1" baseline="0">
                            <a:solidFill>
                              <a:schemeClr val="tx1"/>
                            </a:solidFill>
                            <a:effectLst/>
                            <a:latin typeface="Cambria Math" panose="02040503050406030204" pitchFamily="18" charset="0"/>
                            <a:ea typeface="+mn-ea"/>
                            <a:cs typeface="+mn-cs"/>
                          </a:rPr>
                          <m:t>⁡(</m:t>
                        </m:r>
                        <m:r>
                          <a:rPr lang="en-US" sz="1100" b="0" i="1" baseline="0">
                            <a:solidFill>
                              <a:schemeClr val="tx1"/>
                            </a:solidFill>
                            <a:effectLst/>
                            <a:latin typeface="Cambria Math" panose="02040503050406030204" pitchFamily="18" charset="0"/>
                            <a:ea typeface="+mn-ea"/>
                            <a:cs typeface="+mn-cs"/>
                          </a:rPr>
                          <m:t>𝐿𝑛</m:t>
                        </m:r>
                        <m:r>
                          <a:rPr lang="en-US" sz="1100" b="0" i="1" baseline="0">
                            <a:solidFill>
                              <a:schemeClr val="tx1"/>
                            </a:solidFill>
                            <a:effectLst/>
                            <a:latin typeface="Cambria Math" panose="02040503050406030204" pitchFamily="18" charset="0"/>
                            <a:ea typeface="+mn-ea"/>
                            <a:cs typeface="+mn-cs"/>
                          </a:rPr>
                          <m:t>, </m:t>
                        </m:r>
                        <m:r>
                          <a:rPr lang="en-US" sz="1100" b="0" i="1" baseline="0">
                            <a:solidFill>
                              <a:schemeClr val="tx1"/>
                            </a:solidFill>
                            <a:effectLst/>
                            <a:latin typeface="Cambria Math" panose="02040503050406030204" pitchFamily="18" charset="0"/>
                            <a:ea typeface="+mn-ea"/>
                            <a:cs typeface="+mn-cs"/>
                          </a:rPr>
                          <m:t>𝑊𝑛</m:t>
                        </m:r>
                        <m:r>
                          <a:rPr lang="en-US" sz="1100" b="0" i="1" baseline="0">
                            <a:solidFill>
                              <a:schemeClr val="tx1"/>
                            </a:solidFill>
                            <a:effectLst/>
                            <a:latin typeface="Cambria Math" panose="02040503050406030204" pitchFamily="18" charset="0"/>
                            <a:ea typeface="+mn-ea"/>
                            <a:cs typeface="+mn-cs"/>
                          </a:rPr>
                          <m:t>)</m:t>
                        </m:r>
                      </m:den>
                    </m:f>
                  </m:oMath>
                </m:oMathPara>
              </a14:m>
              <a:endParaRPr lang="en-US" sz="1100" b="0" i="0" u="none" strike="noStrike" baseline="0">
                <a:solidFill>
                  <a:schemeClr val="tx1"/>
                </a:solidFill>
                <a:latin typeface="+mn-lt"/>
                <a:ea typeface="+mn-ea"/>
                <a:cs typeface="+mn-cs"/>
              </a:endParaRPr>
            </a:p>
          </xdr:txBody>
        </xdr:sp>
      </mc:Choice>
      <mc:Fallback xmlns="">
        <xdr:sp macro="" textlink="">
          <xdr:nvSpPr>
            <xdr:cNvPr id="78" name="TextBox 77"/>
            <xdr:cNvSpPr txBox="1"/>
          </xdr:nvSpPr>
          <xdr:spPr>
            <a:xfrm>
              <a:off x="2696936" y="31461075"/>
              <a:ext cx="1676400" cy="3905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n-US" sz="1100" b="0" i="0" u="none" strike="noStrike" baseline="0" smtClean="0">
                  <a:solidFill>
                    <a:schemeClr val="tx1"/>
                  </a:solidFill>
                  <a:latin typeface="Cambria Math" panose="02040503050406030204" pitchFamily="18" charset="0"/>
                  <a:ea typeface="+mn-ea"/>
                  <a:cs typeface="+mn-cs"/>
                </a:rPr>
                <a:t>(max⁡(𝐿𝑛, 𝑊𝑛))/(</a:t>
              </a:r>
              <a:r>
                <a:rPr lang="en-US" sz="1100" b="0" i="0" baseline="0">
                  <a:solidFill>
                    <a:schemeClr val="tx1"/>
                  </a:solidFill>
                  <a:effectLst/>
                  <a:latin typeface="Cambria Math" panose="02040503050406030204" pitchFamily="18" charset="0"/>
                  <a:ea typeface="+mn-ea"/>
                  <a:cs typeface="+mn-cs"/>
                </a:rPr>
                <a:t>min⁡(𝐿𝑛, 𝑊𝑛)</a:t>
              </a:r>
              <a:r>
                <a:rPr lang="en-US" sz="1100" b="0" i="0" u="none" strike="noStrike" baseline="0" smtClean="0">
                  <a:solidFill>
                    <a:schemeClr val="tx1"/>
                  </a:solidFill>
                  <a:effectLst/>
                  <a:latin typeface="Cambria Math" panose="02040503050406030204" pitchFamily="18" charset="0"/>
                  <a:ea typeface="+mn-ea"/>
                  <a:cs typeface="+mn-cs"/>
                </a:rPr>
                <a:t>)</a:t>
              </a:r>
              <a:endParaRPr lang="en-US" sz="1100" b="0" i="0" u="none" strike="noStrike" baseline="0" smtClean="0">
                <a:solidFill>
                  <a:schemeClr val="tx1"/>
                </a:solidFill>
                <a:latin typeface="+mn-lt"/>
                <a:ea typeface="+mn-ea"/>
                <a:cs typeface="+mn-cs"/>
              </a:endParaRPr>
            </a:p>
          </xdr:txBody>
        </xdr:sp>
      </mc:Fallback>
    </mc:AlternateContent>
    <xdr:clientData/>
  </xdr:oneCellAnchor>
  <xdr:oneCellAnchor>
    <xdr:from>
      <xdr:col>1</xdr:col>
      <xdr:colOff>1247775</xdr:colOff>
      <xdr:row>122</xdr:row>
      <xdr:rowOff>117102</xdr:rowOff>
    </xdr:from>
    <xdr:ext cx="509114" cy="192873"/>
    <mc:AlternateContent xmlns:mc="http://schemas.openxmlformats.org/markup-compatibility/2006" xmlns:a14="http://schemas.microsoft.com/office/drawing/2010/main">
      <mc:Choice Requires="a14">
        <xdr:sp macro="" textlink="">
          <xdr:nvSpPr>
            <xdr:cNvPr id="81" name="TextBox 80">
              <a:extLst>
                <a:ext uri="{FF2B5EF4-FFF2-40B4-BE49-F238E27FC236}">
                  <a16:creationId xmlns:a16="http://schemas.microsoft.com/office/drawing/2014/main" id="{00000000-0008-0000-0200-000051000000}"/>
                </a:ext>
              </a:extLst>
            </xdr:cNvPr>
            <xdr:cNvSpPr txBox="1"/>
          </xdr:nvSpPr>
          <xdr:spPr>
            <a:xfrm>
              <a:off x="3143250" y="33092652"/>
              <a:ext cx="509114" cy="1928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en-US" sz="1100" b="0" i="0" u="none" strike="noStrike" baseline="0" smtClean="0">
                        <a:solidFill>
                          <a:schemeClr val="tx1"/>
                        </a:solidFill>
                        <a:latin typeface="+mn-lt"/>
                        <a:ea typeface="+mn-ea"/>
                        <a:cs typeface="+mn-cs"/>
                      </a:rPr>
                      <m:t>𝜎</m:t>
                    </m:r>
                    <m:r>
                      <m:rPr>
                        <m:nor/>
                      </m:rPr>
                      <a:rPr lang="en-US" sz="1100" b="0" i="0" u="none" strike="noStrike" baseline="-25000" smtClean="0">
                        <a:solidFill>
                          <a:schemeClr val="tx1"/>
                        </a:solidFill>
                        <a:latin typeface="+mn-lt"/>
                        <a:ea typeface="+mn-ea"/>
                        <a:cs typeface="+mn-cs"/>
                      </a:rPr>
                      <m:t>𝑀𝐴𝑋</m:t>
                    </m:r>
                    <m:r>
                      <m:rPr>
                        <m:nor/>
                      </m:rPr>
                      <a:rPr lang="en-US" sz="1100" b="0" i="0" u="none" strike="noStrike" baseline="0" smtClean="0">
                        <a:solidFill>
                          <a:schemeClr val="tx1"/>
                        </a:solidFill>
                        <a:latin typeface="+mn-lt"/>
                        <a:ea typeface="+mn-ea"/>
                        <a:cs typeface="+mn-cs"/>
                      </a:rPr>
                      <m:t> ∗</m:t>
                    </m:r>
                    <m:r>
                      <m:rPr>
                        <m:nor/>
                      </m:rPr>
                      <a:rPr lang="en-US" sz="1100" b="0" i="0" u="none" strike="noStrike" baseline="0" smtClean="0">
                        <a:solidFill>
                          <a:schemeClr val="tx1"/>
                        </a:solidFill>
                        <a:latin typeface="+mn-lt"/>
                        <a:ea typeface="+mn-ea"/>
                        <a:cs typeface="+mn-cs"/>
                      </a:rPr>
                      <m:t>𝑡</m:t>
                    </m:r>
                    <m:r>
                      <m:rPr>
                        <m:nor/>
                      </m:rPr>
                      <a:rPr lang="en-US" sz="1100" b="0" i="0" u="none" strike="noStrike" baseline="0" smtClean="0">
                        <a:solidFill>
                          <a:schemeClr val="tx1"/>
                        </a:solidFill>
                        <a:latin typeface="+mn-lt"/>
                        <a:ea typeface="+mn-ea"/>
                        <a:cs typeface="+mn-cs"/>
                      </a:rPr>
                      <m:t> 	</m:t>
                    </m:r>
                  </m:oMath>
                </m:oMathPara>
              </a14:m>
              <a:endParaRPr lang="en-US" sz="1100" b="0" i="0" u="none" strike="noStrike" baseline="0">
                <a:solidFill>
                  <a:schemeClr val="tx1"/>
                </a:solidFill>
                <a:latin typeface="+mn-lt"/>
                <a:ea typeface="+mn-ea"/>
                <a:cs typeface="+mn-cs"/>
              </a:endParaRPr>
            </a:p>
          </xdr:txBody>
        </xdr:sp>
      </mc:Choice>
      <mc:Fallback xmlns="">
        <xdr:sp macro="" textlink="">
          <xdr:nvSpPr>
            <xdr:cNvPr id="81" name="TextBox 80"/>
            <xdr:cNvSpPr txBox="1"/>
          </xdr:nvSpPr>
          <xdr:spPr>
            <a:xfrm>
              <a:off x="3143250" y="33092652"/>
              <a:ext cx="509114" cy="1928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u="none" strike="noStrike" baseline="0" smtClean="0">
                  <a:solidFill>
                    <a:schemeClr val="tx1"/>
                  </a:solidFill>
                  <a:latin typeface="Cambria Math" panose="02040503050406030204" pitchFamily="18" charset="0"/>
                  <a:ea typeface="+mn-ea"/>
                  <a:cs typeface="+mn-cs"/>
                </a:rPr>
                <a:t>"𝜎</a:t>
              </a:r>
              <a:r>
                <a:rPr lang="en-US" sz="1100" b="0" i="0" u="none" strike="noStrike" baseline="-25000" smtClean="0">
                  <a:solidFill>
                    <a:schemeClr val="tx1"/>
                  </a:solidFill>
                  <a:latin typeface="Cambria Math" panose="02040503050406030204" pitchFamily="18" charset="0"/>
                  <a:ea typeface="+mn-ea"/>
                  <a:cs typeface="+mn-cs"/>
                </a:rPr>
                <a:t>𝑀𝐴𝑋</a:t>
              </a:r>
              <a:r>
                <a:rPr lang="en-US" sz="1100" b="0" i="0" u="none" strike="noStrike" baseline="0" smtClean="0">
                  <a:solidFill>
                    <a:schemeClr val="tx1"/>
                  </a:solidFill>
                  <a:latin typeface="Cambria Math" panose="02040503050406030204" pitchFamily="18" charset="0"/>
                  <a:ea typeface="+mn-ea"/>
                  <a:cs typeface="+mn-cs"/>
                </a:rPr>
                <a:t> ∗𝑡 	</a:t>
              </a:r>
              <a:r>
                <a:rPr lang="en-US" sz="1100" b="0" i="0" u="none" strike="noStrike" baseline="0" smtClean="0">
                  <a:solidFill>
                    <a:schemeClr val="tx1"/>
                  </a:solidFill>
                  <a:latin typeface="+mn-lt"/>
                  <a:ea typeface="+mn-ea"/>
                  <a:cs typeface="+mn-cs"/>
                </a:rPr>
                <a:t>"</a:t>
              </a:r>
            </a:p>
          </xdr:txBody>
        </xdr:sp>
      </mc:Fallback>
    </mc:AlternateContent>
    <xdr:clientData/>
  </xdr:oneCellAnchor>
  <xdr:oneCellAnchor>
    <xdr:from>
      <xdr:col>1</xdr:col>
      <xdr:colOff>709572</xdr:colOff>
      <xdr:row>124</xdr:row>
      <xdr:rowOff>111099</xdr:rowOff>
    </xdr:from>
    <xdr:ext cx="1490343" cy="172227"/>
    <mc:AlternateContent xmlns:mc="http://schemas.openxmlformats.org/markup-compatibility/2006" xmlns:a14="http://schemas.microsoft.com/office/drawing/2010/main">
      <mc:Choice Requires="a14">
        <xdr:sp macro="" textlink="">
          <xdr:nvSpPr>
            <xdr:cNvPr id="84" name="TextBox 83">
              <a:extLst>
                <a:ext uri="{FF2B5EF4-FFF2-40B4-BE49-F238E27FC236}">
                  <a16:creationId xmlns:a16="http://schemas.microsoft.com/office/drawing/2014/main" id="{00000000-0008-0000-0200-000054000000}"/>
                </a:ext>
              </a:extLst>
            </xdr:cNvPr>
            <xdr:cNvSpPr txBox="1"/>
          </xdr:nvSpPr>
          <xdr:spPr>
            <a:xfrm>
              <a:off x="2747922" y="33172374"/>
              <a:ext cx="1490343"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en-US" sz="1100" b="0" i="0" u="none" strike="noStrike" baseline="0" smtClean="0">
                        <a:solidFill>
                          <a:schemeClr val="tx1"/>
                        </a:solidFill>
                        <a:latin typeface="+mn-lt"/>
                        <a:ea typeface="+mn-ea"/>
                        <a:cs typeface="+mn-cs"/>
                      </a:rPr>
                      <m:t>MAX</m:t>
                    </m:r>
                    <m:r>
                      <m:rPr>
                        <m:nor/>
                      </m:rPr>
                      <a:rPr lang="en-US" sz="1100" b="0" i="0" u="none" strike="noStrike" baseline="0" smtClean="0">
                        <a:solidFill>
                          <a:schemeClr val="tx1"/>
                        </a:solidFill>
                        <a:latin typeface="+mn-lt"/>
                        <a:ea typeface="+mn-ea"/>
                        <a:cs typeface="+mn-cs"/>
                      </a:rPr>
                      <m:t>(|</m:t>
                    </m:r>
                    <m:r>
                      <m:rPr>
                        <m:nor/>
                      </m:rPr>
                      <a:rPr lang="en-US" sz="1100" b="0" i="0" u="none" strike="noStrike" baseline="0" smtClean="0">
                        <a:solidFill>
                          <a:schemeClr val="tx1"/>
                        </a:solidFill>
                        <a:latin typeface="+mn-lt"/>
                        <a:ea typeface="+mn-ea"/>
                        <a:cs typeface="+mn-cs"/>
                      </a:rPr>
                      <m:t>𝜎</m:t>
                    </m:r>
                    <m:r>
                      <m:rPr>
                        <m:nor/>
                      </m:rPr>
                      <a:rPr lang="en-US" sz="1100" b="0" i="0" u="none" strike="noStrike" baseline="-25000" smtClean="0">
                        <a:solidFill>
                          <a:schemeClr val="tx1"/>
                        </a:solidFill>
                        <a:latin typeface="+mn-lt"/>
                        <a:ea typeface="+mn-ea"/>
                        <a:cs typeface="+mn-cs"/>
                      </a:rPr>
                      <m:t>𝑀𝐴𝑋</m:t>
                    </m:r>
                    <m:r>
                      <m:rPr>
                        <m:nor/>
                      </m:rPr>
                      <a:rPr lang="en-US" sz="1100" b="0" i="0" u="none" strike="noStrike" baseline="-25000" smtClean="0">
                        <a:solidFill>
                          <a:schemeClr val="tx1"/>
                        </a:solidFill>
                        <a:latin typeface="+mn-lt"/>
                        <a:ea typeface="+mn-ea"/>
                        <a:cs typeface="+mn-cs"/>
                      </a:rPr>
                      <m:t>,</m:t>
                    </m:r>
                    <m:r>
                      <m:rPr>
                        <m:nor/>
                      </m:rPr>
                      <a:rPr lang="en-US" sz="1100" b="0" i="0" u="none" strike="noStrike" baseline="-25000" smtClean="0">
                        <a:solidFill>
                          <a:schemeClr val="tx1"/>
                        </a:solidFill>
                        <a:latin typeface="+mn-lt"/>
                        <a:ea typeface="+mn-ea"/>
                        <a:cs typeface="+mn-cs"/>
                      </a:rPr>
                      <m:t>𝑃𝑟</m:t>
                    </m:r>
                    <m:r>
                      <m:rPr>
                        <m:nor/>
                      </m:rPr>
                      <a:rPr lang="en-US" sz="1100" b="0" i="0" u="none" strike="noStrike" baseline="0" smtClean="0">
                        <a:solidFill>
                          <a:schemeClr val="tx1"/>
                        </a:solidFill>
                        <a:latin typeface="+mn-lt"/>
                        <a:ea typeface="+mn-ea"/>
                        <a:cs typeface="+mn-cs"/>
                      </a:rPr>
                      <m:t>|,|</m:t>
                    </m:r>
                    <m:r>
                      <m:rPr>
                        <m:nor/>
                      </m:rPr>
                      <a:rPr lang="en-US" sz="1100" b="0" i="0" u="none" strike="noStrike" baseline="0" smtClean="0">
                        <a:solidFill>
                          <a:schemeClr val="tx1"/>
                        </a:solidFill>
                        <a:latin typeface="+mn-lt"/>
                        <a:ea typeface="+mn-ea"/>
                        <a:cs typeface="+mn-cs"/>
                      </a:rPr>
                      <m:t>𝜎</m:t>
                    </m:r>
                    <m:r>
                      <m:rPr>
                        <m:nor/>
                      </m:rPr>
                      <a:rPr lang="en-US" sz="1100" b="0" i="0" u="none" strike="noStrike" baseline="-25000" smtClean="0">
                        <a:solidFill>
                          <a:schemeClr val="tx1"/>
                        </a:solidFill>
                        <a:latin typeface="+mn-lt"/>
                        <a:ea typeface="+mn-ea"/>
                        <a:cs typeface="+mn-cs"/>
                      </a:rPr>
                      <m:t>𝑚𝑖𝑛</m:t>
                    </m:r>
                    <m:r>
                      <m:rPr>
                        <m:nor/>
                      </m:rPr>
                      <a:rPr lang="en-US" sz="1100" b="0" i="0" u="none" strike="noStrike" baseline="-25000" smtClean="0">
                        <a:solidFill>
                          <a:schemeClr val="tx1"/>
                        </a:solidFill>
                        <a:latin typeface="+mn-lt"/>
                        <a:ea typeface="+mn-ea"/>
                        <a:cs typeface="+mn-cs"/>
                      </a:rPr>
                      <m:t>,</m:t>
                    </m:r>
                    <m:r>
                      <m:rPr>
                        <m:nor/>
                      </m:rPr>
                      <a:rPr lang="en-US" sz="1100" b="0" i="0" u="none" strike="noStrike" baseline="-25000" smtClean="0">
                        <a:solidFill>
                          <a:schemeClr val="tx1"/>
                        </a:solidFill>
                        <a:latin typeface="+mn-lt"/>
                        <a:ea typeface="+mn-ea"/>
                        <a:cs typeface="+mn-cs"/>
                      </a:rPr>
                      <m:t>𝑃𝑟</m:t>
                    </m:r>
                    <m:r>
                      <m:rPr>
                        <m:nor/>
                      </m:rPr>
                      <a:rPr lang="en-US" sz="1100" b="0" i="0" u="none" strike="noStrike" baseline="0" smtClean="0">
                        <a:solidFill>
                          <a:schemeClr val="tx1"/>
                        </a:solidFill>
                        <a:latin typeface="+mn-lt"/>
                        <a:ea typeface="+mn-ea"/>
                        <a:cs typeface="+mn-cs"/>
                      </a:rPr>
                      <m:t>|) </m:t>
                    </m:r>
                  </m:oMath>
                </m:oMathPara>
              </a14:m>
              <a:endParaRPr lang="en-US" sz="1100" baseline="-25000"/>
            </a:p>
          </xdr:txBody>
        </xdr:sp>
      </mc:Choice>
      <mc:Fallback xmlns="">
        <xdr:sp macro="" textlink="">
          <xdr:nvSpPr>
            <xdr:cNvPr id="84" name="TextBox 83"/>
            <xdr:cNvSpPr txBox="1"/>
          </xdr:nvSpPr>
          <xdr:spPr>
            <a:xfrm>
              <a:off x="2747922" y="33172374"/>
              <a:ext cx="1490343"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u="none" strike="noStrike" baseline="0" smtClean="0">
                  <a:solidFill>
                    <a:schemeClr val="tx1"/>
                  </a:solidFill>
                  <a:latin typeface="Cambria Math" panose="02040503050406030204" pitchFamily="18" charset="0"/>
                  <a:ea typeface="+mn-ea"/>
                  <a:cs typeface="+mn-cs"/>
                </a:rPr>
                <a:t>"MAX(|𝜎</a:t>
              </a:r>
              <a:r>
                <a:rPr lang="en-US" sz="1100" b="0" i="0" u="none" strike="noStrike" baseline="-25000" smtClean="0">
                  <a:solidFill>
                    <a:schemeClr val="tx1"/>
                  </a:solidFill>
                  <a:latin typeface="Cambria Math" panose="02040503050406030204" pitchFamily="18" charset="0"/>
                  <a:ea typeface="+mn-ea"/>
                  <a:cs typeface="+mn-cs"/>
                </a:rPr>
                <a:t>𝑀𝐴𝑋,𝑃𝑟</a:t>
              </a:r>
              <a:r>
                <a:rPr lang="en-US" sz="1100" b="0" i="0" u="none" strike="noStrike" baseline="0" smtClean="0">
                  <a:solidFill>
                    <a:schemeClr val="tx1"/>
                  </a:solidFill>
                  <a:latin typeface="Cambria Math" panose="02040503050406030204" pitchFamily="18" charset="0"/>
                  <a:ea typeface="+mn-ea"/>
                  <a:cs typeface="+mn-cs"/>
                </a:rPr>
                <a:t>|,|𝜎</a:t>
              </a:r>
              <a:r>
                <a:rPr lang="en-US" sz="1100" b="0" i="0" u="none" strike="noStrike" baseline="-25000" smtClean="0">
                  <a:solidFill>
                    <a:schemeClr val="tx1"/>
                  </a:solidFill>
                  <a:latin typeface="Cambria Math" panose="02040503050406030204" pitchFamily="18" charset="0"/>
                  <a:ea typeface="+mn-ea"/>
                  <a:cs typeface="+mn-cs"/>
                </a:rPr>
                <a:t>𝑚𝑖𝑛,𝑃𝑟</a:t>
              </a:r>
              <a:r>
                <a:rPr lang="en-US" sz="1100" b="0" i="0" u="none" strike="noStrike" baseline="0" smtClean="0">
                  <a:solidFill>
                    <a:schemeClr val="tx1"/>
                  </a:solidFill>
                  <a:latin typeface="Cambria Math" panose="02040503050406030204" pitchFamily="18" charset="0"/>
                  <a:ea typeface="+mn-ea"/>
                  <a:cs typeface="+mn-cs"/>
                </a:rPr>
                <a:t>|) </a:t>
              </a:r>
              <a:r>
                <a:rPr lang="en-US" sz="1100" b="0" i="0" u="none" strike="noStrike" baseline="0" smtClean="0">
                  <a:solidFill>
                    <a:schemeClr val="tx1"/>
                  </a:solidFill>
                  <a:latin typeface="+mn-lt"/>
                  <a:ea typeface="+mn-ea"/>
                  <a:cs typeface="+mn-cs"/>
                </a:rPr>
                <a:t>"</a:t>
              </a:r>
              <a:endParaRPr lang="en-US" sz="1100" baseline="-25000"/>
            </a:p>
          </xdr:txBody>
        </xdr:sp>
      </mc:Fallback>
    </mc:AlternateContent>
    <xdr:clientData/>
  </xdr:oneCellAnchor>
  <xdr:oneCellAnchor>
    <xdr:from>
      <xdr:col>1</xdr:col>
      <xdr:colOff>781050</xdr:colOff>
      <xdr:row>125</xdr:row>
      <xdr:rowOff>28575</xdr:rowOff>
    </xdr:from>
    <xdr:ext cx="1371600" cy="552450"/>
    <mc:AlternateContent xmlns:mc="http://schemas.openxmlformats.org/markup-compatibility/2006" xmlns:a14="http://schemas.microsoft.com/office/drawing/2010/main">
      <mc:Choice Requires="a14">
        <xdr:sp macro="" textlink="">
          <xdr:nvSpPr>
            <xdr:cNvPr id="86" name="TextBox 85">
              <a:extLst>
                <a:ext uri="{FF2B5EF4-FFF2-40B4-BE49-F238E27FC236}">
                  <a16:creationId xmlns:a16="http://schemas.microsoft.com/office/drawing/2014/main" id="{00000000-0008-0000-0200-000056000000}"/>
                </a:ext>
              </a:extLst>
            </xdr:cNvPr>
            <xdr:cNvSpPr txBox="1"/>
          </xdr:nvSpPr>
          <xdr:spPr>
            <a:xfrm>
              <a:off x="2819400" y="33556575"/>
              <a:ext cx="1371600" cy="5524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f>
                    <m:fPr>
                      <m:ctrlPr>
                        <a:rPr lang="en-US" sz="1100" b="0" i="1" baseline="0">
                          <a:solidFill>
                            <a:schemeClr val="tx1"/>
                          </a:solidFill>
                          <a:effectLst/>
                          <a:latin typeface="Cambria Math" panose="02040503050406030204" pitchFamily="18" charset="0"/>
                          <a:ea typeface="+mn-ea"/>
                          <a:cs typeface="+mn-cs"/>
                        </a:rPr>
                      </m:ctrlPr>
                    </m:fPr>
                    <m:num>
                      <m:r>
                        <a:rPr lang="en-US" sz="1100" b="0" i="1" baseline="0">
                          <a:solidFill>
                            <a:schemeClr val="tx1"/>
                          </a:solidFill>
                          <a:effectLst/>
                          <a:latin typeface="Cambria Math" panose="02040503050406030204" pitchFamily="18" charset="0"/>
                          <a:ea typeface="+mn-ea"/>
                          <a:cs typeface="+mn-cs"/>
                        </a:rPr>
                        <m:t>3 </m:t>
                      </m:r>
                      <m:r>
                        <a:rPr lang="en-US" sz="1100" b="0" i="1" baseline="0">
                          <a:solidFill>
                            <a:schemeClr val="tx1"/>
                          </a:solidFill>
                          <a:effectLst/>
                          <a:latin typeface="Cambria Math" panose="02040503050406030204" pitchFamily="18" charset="0"/>
                          <a:ea typeface="+mn-ea"/>
                          <a:cs typeface="+mn-cs"/>
                        </a:rPr>
                        <m:t>𝑥</m:t>
                      </m:r>
                      <m:r>
                        <a:rPr lang="en-US" sz="1100" b="0" i="1" baseline="0">
                          <a:solidFill>
                            <a:schemeClr val="tx1"/>
                          </a:solidFill>
                          <a:effectLst/>
                          <a:latin typeface="Cambria Math" panose="02040503050406030204" pitchFamily="18" charset="0"/>
                          <a:ea typeface="+mn-ea"/>
                          <a:cs typeface="+mn-cs"/>
                        </a:rPr>
                        <m:t> </m:t>
                      </m:r>
                      <m:r>
                        <a:rPr lang="en-US" sz="1100" b="0" i="1" baseline="0">
                          <a:solidFill>
                            <a:schemeClr val="tx1"/>
                          </a:solidFill>
                          <a:effectLst/>
                          <a:latin typeface="Cambria Math" panose="02040503050406030204" pitchFamily="18" charset="0"/>
                          <a:ea typeface="+mn-ea"/>
                          <a:cs typeface="+mn-cs"/>
                        </a:rPr>
                        <m:t>𝑀𝑑𝑒𝑛𝑡</m:t>
                      </m:r>
                    </m:num>
                    <m:den>
                      <m:r>
                        <a:rPr lang="en-US" sz="1100" b="0" i="1" baseline="0">
                          <a:solidFill>
                            <a:schemeClr val="tx1"/>
                          </a:solidFill>
                          <a:effectLst/>
                          <a:latin typeface="Cambria Math" panose="02040503050406030204" pitchFamily="18" charset="0"/>
                          <a:ea typeface="+mn-ea"/>
                          <a:cs typeface="+mn-cs"/>
                        </a:rPr>
                        <m:t>𝑡</m:t>
                      </m:r>
                      <m:r>
                        <a:rPr lang="en-US" sz="1100" b="0" i="1" baseline="30000">
                          <a:solidFill>
                            <a:schemeClr val="tx1"/>
                          </a:solidFill>
                          <a:effectLst/>
                          <a:latin typeface="Cambria Math" panose="02040503050406030204" pitchFamily="18" charset="0"/>
                          <a:ea typeface="+mn-ea"/>
                          <a:cs typeface="+mn-cs"/>
                        </a:rPr>
                        <m:t>2</m:t>
                      </m:r>
                    </m:den>
                  </m:f>
                </m:oMath>
              </a14:m>
              <a:r>
                <a:rPr lang="en-US" sz="1100" b="0" i="0" u="none" strike="noStrike" baseline="0">
                  <a:solidFill>
                    <a:schemeClr val="tx1"/>
                  </a:solidFill>
                  <a:latin typeface="+mn-lt"/>
                  <a:ea typeface="+mn-ea"/>
                  <a:cs typeface="+mn-cs"/>
                </a:rPr>
                <a:t>,     if AR &gt;1.5</a:t>
              </a:r>
            </a:p>
            <a:p>
              <a:pPr marL="0" marR="0" lvl="0" indent="0"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f>
                    <m:fPr>
                      <m:ctrlPr>
                        <a:rPr lang="en-US" sz="1100" b="0" i="1" baseline="0">
                          <a:solidFill>
                            <a:schemeClr val="tx1"/>
                          </a:solidFill>
                          <a:effectLst/>
                          <a:latin typeface="Cambria Math" panose="02040503050406030204" pitchFamily="18" charset="0"/>
                          <a:ea typeface="+mn-ea"/>
                          <a:cs typeface="+mn-cs"/>
                        </a:rPr>
                      </m:ctrlPr>
                    </m:fPr>
                    <m:num>
                      <m:r>
                        <a:rPr lang="en-US" sz="1100" b="0" i="1" baseline="0">
                          <a:solidFill>
                            <a:schemeClr val="tx1"/>
                          </a:solidFill>
                          <a:effectLst/>
                          <a:latin typeface="Cambria Math" panose="02040503050406030204" pitchFamily="18" charset="0"/>
                          <a:ea typeface="+mn-ea"/>
                          <a:cs typeface="+mn-cs"/>
                        </a:rPr>
                        <m:t>3.6 </m:t>
                      </m:r>
                      <m:r>
                        <a:rPr lang="en-US" sz="1100" b="0" i="1" baseline="0">
                          <a:solidFill>
                            <a:schemeClr val="tx1"/>
                          </a:solidFill>
                          <a:effectLst/>
                          <a:latin typeface="Cambria Math" panose="02040503050406030204" pitchFamily="18" charset="0"/>
                          <a:ea typeface="+mn-ea"/>
                          <a:cs typeface="+mn-cs"/>
                        </a:rPr>
                        <m:t>𝑥</m:t>
                      </m:r>
                      <m:r>
                        <a:rPr lang="en-US" sz="1100" b="0" i="1" baseline="0">
                          <a:solidFill>
                            <a:schemeClr val="tx1"/>
                          </a:solidFill>
                          <a:effectLst/>
                          <a:latin typeface="Cambria Math" panose="02040503050406030204" pitchFamily="18" charset="0"/>
                          <a:ea typeface="+mn-ea"/>
                          <a:cs typeface="+mn-cs"/>
                        </a:rPr>
                        <m:t> </m:t>
                      </m:r>
                      <m:r>
                        <a:rPr lang="en-US" sz="1100" b="0" i="1" baseline="0">
                          <a:solidFill>
                            <a:schemeClr val="tx1"/>
                          </a:solidFill>
                          <a:effectLst/>
                          <a:latin typeface="Cambria Math" panose="02040503050406030204" pitchFamily="18" charset="0"/>
                          <a:ea typeface="+mn-ea"/>
                          <a:cs typeface="+mn-cs"/>
                        </a:rPr>
                        <m:t>𝑀𝑑𝑒𝑛𝑡</m:t>
                      </m:r>
                    </m:num>
                    <m:den>
                      <m:r>
                        <a:rPr lang="en-US" sz="1100" b="0" i="1" baseline="0">
                          <a:solidFill>
                            <a:schemeClr val="tx1"/>
                          </a:solidFill>
                          <a:effectLst/>
                          <a:latin typeface="Cambria Math" panose="02040503050406030204" pitchFamily="18" charset="0"/>
                          <a:ea typeface="+mn-ea"/>
                          <a:cs typeface="+mn-cs"/>
                        </a:rPr>
                        <m:t>𝑡</m:t>
                      </m:r>
                      <m:r>
                        <a:rPr lang="en-US" sz="1100" b="0" i="1" baseline="30000">
                          <a:solidFill>
                            <a:schemeClr val="tx1"/>
                          </a:solidFill>
                          <a:effectLst/>
                          <a:latin typeface="Cambria Math" panose="02040503050406030204" pitchFamily="18" charset="0"/>
                          <a:ea typeface="+mn-ea"/>
                          <a:cs typeface="+mn-cs"/>
                        </a:rPr>
                        <m:t>2</m:t>
                      </m:r>
                    </m:den>
                  </m:f>
                </m:oMath>
              </a14:m>
              <a:r>
                <a:rPr lang="en-US" sz="1100" b="0" i="0" baseline="0">
                  <a:solidFill>
                    <a:schemeClr val="tx1"/>
                  </a:solidFill>
                  <a:effectLst/>
                  <a:latin typeface="+mn-lt"/>
                  <a:ea typeface="+mn-ea"/>
                  <a:cs typeface="+mn-cs"/>
                </a:rPr>
                <a:t>,     if AR ≤1.5</a:t>
              </a:r>
              <a:endParaRPr lang="en-US">
                <a:effectLst/>
              </a:endParaRPr>
            </a:p>
          </xdr:txBody>
        </xdr:sp>
      </mc:Choice>
      <mc:Fallback xmlns="">
        <xdr:sp macro="" textlink="">
          <xdr:nvSpPr>
            <xdr:cNvPr id="86" name="TextBox 85"/>
            <xdr:cNvSpPr txBox="1"/>
          </xdr:nvSpPr>
          <xdr:spPr>
            <a:xfrm>
              <a:off x="2819400" y="33556575"/>
              <a:ext cx="1371600" cy="5524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tx1"/>
                  </a:solidFill>
                  <a:effectLst/>
                  <a:latin typeface="Cambria Math" panose="02040503050406030204" pitchFamily="18" charset="0"/>
                  <a:ea typeface="+mn-ea"/>
                  <a:cs typeface="+mn-cs"/>
                </a:rPr>
                <a:t>(3 𝑥 𝑀𝑑𝑒𝑛𝑡)/𝑡</a:t>
              </a:r>
              <a:r>
                <a:rPr lang="en-US" sz="1100" b="0" i="0" baseline="30000">
                  <a:solidFill>
                    <a:schemeClr val="tx1"/>
                  </a:solidFill>
                  <a:effectLst/>
                  <a:latin typeface="Cambria Math" panose="02040503050406030204" pitchFamily="18" charset="0"/>
                  <a:ea typeface="+mn-ea"/>
                  <a:cs typeface="+mn-cs"/>
                </a:rPr>
                <a:t>2</a:t>
              </a:r>
              <a:r>
                <a:rPr lang="en-US" sz="1100" b="0" i="0" u="none" strike="noStrike" baseline="0" smtClean="0">
                  <a:solidFill>
                    <a:schemeClr val="tx1"/>
                  </a:solidFill>
                  <a:latin typeface="+mn-lt"/>
                  <a:ea typeface="+mn-ea"/>
                  <a:cs typeface="+mn-cs"/>
                </a:rPr>
                <a:t>,     if AR &gt;1.5</a:t>
              </a: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tx1"/>
                  </a:solidFill>
                  <a:effectLst/>
                  <a:latin typeface="Cambria Math" panose="02040503050406030204" pitchFamily="18" charset="0"/>
                  <a:ea typeface="+mn-ea"/>
                  <a:cs typeface="+mn-cs"/>
                </a:rPr>
                <a:t>(3.6 𝑥 𝑀𝑑𝑒𝑛𝑡)/𝑡</a:t>
              </a:r>
              <a:r>
                <a:rPr lang="en-US" sz="1100" b="0" i="0" baseline="30000">
                  <a:solidFill>
                    <a:schemeClr val="tx1"/>
                  </a:solidFill>
                  <a:effectLst/>
                  <a:latin typeface="Cambria Math" panose="02040503050406030204" pitchFamily="18" charset="0"/>
                  <a:ea typeface="+mn-ea"/>
                  <a:cs typeface="+mn-cs"/>
                </a:rPr>
                <a:t>2</a:t>
              </a:r>
              <a:r>
                <a:rPr lang="en-US" sz="1100" b="0" i="0" baseline="0">
                  <a:solidFill>
                    <a:schemeClr val="tx1"/>
                  </a:solidFill>
                  <a:effectLst/>
                  <a:latin typeface="+mn-lt"/>
                  <a:ea typeface="+mn-ea"/>
                  <a:cs typeface="+mn-cs"/>
                </a:rPr>
                <a:t>,     if AR ≤1.5</a:t>
              </a:r>
              <a:endParaRPr lang="en-US">
                <a:effectLst/>
              </a:endParaRPr>
            </a:p>
          </xdr:txBody>
        </xdr:sp>
      </mc:Fallback>
    </mc:AlternateContent>
    <xdr:clientData/>
  </xdr:oneCellAnchor>
  <xdr:oneCellAnchor>
    <xdr:from>
      <xdr:col>1</xdr:col>
      <xdr:colOff>859331</xdr:colOff>
      <xdr:row>134</xdr:row>
      <xdr:rowOff>79882</xdr:rowOff>
    </xdr:from>
    <xdr:ext cx="1277470" cy="398929"/>
    <mc:AlternateContent xmlns:mc="http://schemas.openxmlformats.org/markup-compatibility/2006" xmlns:a14="http://schemas.microsoft.com/office/drawing/2010/main">
      <mc:Choice Requires="a14">
        <xdr:sp macro="" textlink="">
          <xdr:nvSpPr>
            <xdr:cNvPr id="91" name="TextBox 90">
              <a:extLst>
                <a:ext uri="{FF2B5EF4-FFF2-40B4-BE49-F238E27FC236}">
                  <a16:creationId xmlns:a16="http://schemas.microsoft.com/office/drawing/2014/main" id="{00000000-0008-0000-0200-00005B000000}"/>
                </a:ext>
              </a:extLst>
            </xdr:cNvPr>
            <xdr:cNvSpPr txBox="1"/>
          </xdr:nvSpPr>
          <xdr:spPr>
            <a:xfrm>
              <a:off x="2897681" y="36160582"/>
              <a:ext cx="1277470" cy="3989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f>
                      <m:fPr>
                        <m:ctrlPr>
                          <a:rPr lang="en-US" sz="1100" b="0" i="1" baseline="0">
                            <a:solidFill>
                              <a:schemeClr val="tx1"/>
                            </a:solidFill>
                            <a:effectLst/>
                            <a:latin typeface="Cambria Math" panose="02040503050406030204" pitchFamily="18" charset="0"/>
                            <a:ea typeface="+mn-ea"/>
                            <a:cs typeface="+mn-cs"/>
                          </a:rPr>
                        </m:ctrlPr>
                      </m:fPr>
                      <m:num>
                        <m:r>
                          <a:rPr lang="en-US" sz="1100" b="0" i="1" baseline="0">
                            <a:solidFill>
                              <a:schemeClr val="tx1"/>
                            </a:solidFill>
                            <a:effectLst/>
                            <a:latin typeface="Cambria Math" panose="02040503050406030204" pitchFamily="18" charset="0"/>
                            <a:ea typeface="+mn-ea"/>
                            <a:cs typeface="+mn-cs"/>
                          </a:rPr>
                          <m:t>𝑛</m:t>
                        </m:r>
                        <m:r>
                          <m:rPr>
                            <m:sty m:val="p"/>
                          </m:rPr>
                          <a:rPr lang="el-GR" sz="1100" b="0" i="1" baseline="0">
                            <a:solidFill>
                              <a:schemeClr val="tx1"/>
                            </a:solidFill>
                            <a:effectLst/>
                            <a:latin typeface="Cambria Math" panose="02040503050406030204" pitchFamily="18" charset="0"/>
                            <a:ea typeface="+mn-ea"/>
                            <a:cs typeface="+mn-cs"/>
                          </a:rPr>
                          <m:t>η</m:t>
                        </m:r>
                        <m:r>
                          <a:rPr lang="en-US" sz="1100" b="0" i="1" baseline="-25000">
                            <a:solidFill>
                              <a:schemeClr val="tx1"/>
                            </a:solidFill>
                            <a:effectLst/>
                            <a:latin typeface="Cambria Math" panose="02040503050406030204" pitchFamily="18" charset="0"/>
                            <a:ea typeface="+mn-ea"/>
                            <a:cs typeface="+mn-cs"/>
                          </a:rPr>
                          <m:t>𝑝</m:t>
                        </m:r>
                        <m:r>
                          <a:rPr lang="en-US" sz="1100" b="0" i="1" baseline="0">
                            <a:solidFill>
                              <a:schemeClr val="tx1"/>
                            </a:solidFill>
                            <a:effectLst/>
                            <a:latin typeface="Cambria Math" panose="02040503050406030204" pitchFamily="18" charset="0"/>
                            <a:ea typeface="+mn-ea"/>
                            <a:cs typeface="+mn-cs"/>
                          </a:rPr>
                          <m:t>𝐾</m:t>
                        </m:r>
                        <m:r>
                          <a:rPr lang="az-Cyrl-AZ" sz="1100" b="0" i="1" baseline="0">
                            <a:solidFill>
                              <a:schemeClr val="tx1"/>
                            </a:solidFill>
                            <a:effectLst/>
                            <a:latin typeface="Cambria Math" panose="02040503050406030204" pitchFamily="18" charset="0"/>
                            <a:ea typeface="+mn-ea"/>
                            <a:cs typeface="+mn-cs"/>
                          </a:rPr>
                          <m:t>п</m:t>
                        </m:r>
                        <m:r>
                          <a:rPr lang="en-US" sz="1100" b="0" i="1" baseline="30000">
                            <a:solidFill>
                              <a:schemeClr val="tx1"/>
                            </a:solidFill>
                            <a:effectLst/>
                            <a:latin typeface="Cambria Math" panose="02040503050406030204" pitchFamily="18" charset="0"/>
                            <a:ea typeface="+mn-ea"/>
                            <a:cs typeface="+mn-cs"/>
                          </a:rPr>
                          <m:t>2</m:t>
                        </m:r>
                        <m:r>
                          <a:rPr lang="en-US" sz="1100" b="0" i="1" baseline="0">
                            <a:solidFill>
                              <a:schemeClr val="tx1"/>
                            </a:solidFill>
                            <a:effectLst/>
                            <a:latin typeface="Cambria Math" panose="02040503050406030204" pitchFamily="18" charset="0"/>
                            <a:ea typeface="+mn-ea"/>
                            <a:cs typeface="+mn-cs"/>
                          </a:rPr>
                          <m:t>𝐸</m:t>
                        </m:r>
                        <m:r>
                          <a:rPr lang="en-US" sz="1100" b="0" i="1" baseline="-25000">
                            <a:solidFill>
                              <a:schemeClr val="tx1"/>
                            </a:solidFill>
                            <a:effectLst/>
                            <a:latin typeface="Cambria Math" panose="02040503050406030204" pitchFamily="18" charset="0"/>
                            <a:ea typeface="+mn-ea"/>
                            <a:cs typeface="+mn-cs"/>
                          </a:rPr>
                          <m:t>𝐶</m:t>
                        </m:r>
                        <m:r>
                          <a:rPr lang="en-US" sz="1100" b="0" i="1" baseline="-25000">
                            <a:solidFill>
                              <a:schemeClr val="tx1"/>
                            </a:solidFill>
                            <a:effectLst/>
                            <a:latin typeface="Cambria Math" panose="02040503050406030204" pitchFamily="18" charset="0"/>
                            <a:ea typeface="+mn-ea"/>
                            <a:cs typeface="+mn-cs"/>
                          </a:rPr>
                          <m:t> </m:t>
                        </m:r>
                        <m:r>
                          <a:rPr lang="en-US" sz="1100" b="0" i="1" baseline="0">
                            <a:solidFill>
                              <a:schemeClr val="tx1"/>
                            </a:solidFill>
                            <a:effectLst/>
                            <a:latin typeface="Cambria Math" panose="02040503050406030204" pitchFamily="18" charset="0"/>
                            <a:ea typeface="+mn-ea"/>
                            <a:cs typeface="+mn-cs"/>
                          </a:rPr>
                          <m:t>𝑇𝑅𝐹</m:t>
                        </m:r>
                      </m:num>
                      <m:den>
                        <m:r>
                          <a:rPr lang="en-US" sz="1100" b="0" i="1" baseline="0">
                            <a:solidFill>
                              <a:schemeClr val="tx1"/>
                            </a:solidFill>
                            <a:effectLst/>
                            <a:latin typeface="Cambria Math" panose="02040503050406030204" pitchFamily="18" charset="0"/>
                            <a:ea typeface="+mn-ea"/>
                            <a:cs typeface="+mn-cs"/>
                          </a:rPr>
                          <m:t>12</m:t>
                        </m:r>
                        <m:d>
                          <m:dPr>
                            <m:ctrlPr>
                              <a:rPr lang="en-US" sz="1100" b="0" i="1" baseline="0">
                                <a:solidFill>
                                  <a:schemeClr val="tx1"/>
                                </a:solidFill>
                                <a:effectLst/>
                                <a:latin typeface="Cambria Math" panose="02040503050406030204" pitchFamily="18" charset="0"/>
                                <a:ea typeface="+mn-ea"/>
                                <a:cs typeface="+mn-cs"/>
                              </a:rPr>
                            </m:ctrlPr>
                          </m:dPr>
                          <m:e>
                            <m:r>
                              <a:rPr lang="en-US" sz="1100" b="0" i="1" baseline="0">
                                <a:solidFill>
                                  <a:schemeClr val="tx1"/>
                                </a:solidFill>
                                <a:effectLst/>
                                <a:latin typeface="Cambria Math" panose="02040503050406030204" pitchFamily="18" charset="0"/>
                                <a:ea typeface="+mn-ea"/>
                                <a:cs typeface="+mn-cs"/>
                              </a:rPr>
                              <m:t>1−µ</m:t>
                            </m:r>
                            <m:r>
                              <a:rPr lang="en-US" sz="1100" b="0" i="1" baseline="30000">
                                <a:solidFill>
                                  <a:schemeClr val="tx1"/>
                                </a:solidFill>
                                <a:effectLst/>
                                <a:latin typeface="Cambria Math" panose="02040503050406030204" pitchFamily="18" charset="0"/>
                                <a:ea typeface="+mn-ea"/>
                                <a:cs typeface="+mn-cs"/>
                              </a:rPr>
                              <m:t>2</m:t>
                            </m:r>
                          </m:e>
                        </m:d>
                      </m:den>
                    </m:f>
                    <m:d>
                      <m:dPr>
                        <m:ctrlPr>
                          <a:rPr lang="en-US" sz="1100" b="0" i="1" baseline="0">
                            <a:solidFill>
                              <a:schemeClr val="tx1"/>
                            </a:solidFill>
                            <a:effectLst/>
                            <a:latin typeface="Cambria Math" panose="02040503050406030204" pitchFamily="18" charset="0"/>
                            <a:ea typeface="+mn-ea"/>
                            <a:cs typeface="+mn-cs"/>
                          </a:rPr>
                        </m:ctrlPr>
                      </m:dPr>
                      <m:e>
                        <m:f>
                          <m:fPr>
                            <m:ctrlPr>
                              <a:rPr lang="en-US" sz="1100" b="0" i="1" baseline="0">
                                <a:solidFill>
                                  <a:schemeClr val="tx1"/>
                                </a:solidFill>
                                <a:effectLst/>
                                <a:latin typeface="Cambria Math" panose="02040503050406030204" pitchFamily="18" charset="0"/>
                                <a:ea typeface="+mn-ea"/>
                                <a:cs typeface="+mn-cs"/>
                              </a:rPr>
                            </m:ctrlPr>
                          </m:fPr>
                          <m:num>
                            <m:r>
                              <a:rPr lang="en-US" sz="1100" b="0" i="1" baseline="0">
                                <a:solidFill>
                                  <a:schemeClr val="tx1"/>
                                </a:solidFill>
                                <a:effectLst/>
                                <a:latin typeface="Cambria Math" panose="02040503050406030204" pitchFamily="18" charset="0"/>
                                <a:ea typeface="+mn-ea"/>
                                <a:cs typeface="+mn-cs"/>
                              </a:rPr>
                              <m:t>𝑡</m:t>
                            </m:r>
                          </m:num>
                          <m:den>
                            <m:r>
                              <a:rPr lang="en-US" sz="1100" b="0" i="1" baseline="0">
                                <a:solidFill>
                                  <a:schemeClr val="tx1"/>
                                </a:solidFill>
                                <a:effectLst/>
                                <a:latin typeface="Cambria Math" panose="02040503050406030204" pitchFamily="18" charset="0"/>
                                <a:ea typeface="+mn-ea"/>
                                <a:cs typeface="+mn-cs"/>
                              </a:rPr>
                              <m:t>𝑏</m:t>
                            </m:r>
                          </m:den>
                        </m:f>
                      </m:e>
                    </m:d>
                    <m:r>
                      <a:rPr lang="en-US" sz="1100" b="0" i="1" baseline="30000">
                        <a:solidFill>
                          <a:schemeClr val="tx1"/>
                        </a:solidFill>
                        <a:effectLst/>
                        <a:latin typeface="Cambria Math" panose="02040503050406030204" pitchFamily="18" charset="0"/>
                        <a:ea typeface="+mn-ea"/>
                        <a:cs typeface="+mn-cs"/>
                      </a:rPr>
                      <m:t>2</m:t>
                    </m:r>
                  </m:oMath>
                </m:oMathPara>
              </a14:m>
              <a:endParaRPr lang="en-US" sz="1100" b="0" i="0" u="none" strike="noStrike" baseline="30000">
                <a:solidFill>
                  <a:schemeClr val="tx1"/>
                </a:solidFill>
                <a:latin typeface="+mn-lt"/>
                <a:ea typeface="+mn-ea"/>
                <a:cs typeface="+mn-cs"/>
              </a:endParaRPr>
            </a:p>
          </xdr:txBody>
        </xdr:sp>
      </mc:Choice>
      <mc:Fallback xmlns="">
        <xdr:sp macro="" textlink="">
          <xdr:nvSpPr>
            <xdr:cNvPr id="91" name="TextBox 90"/>
            <xdr:cNvSpPr txBox="1"/>
          </xdr:nvSpPr>
          <xdr:spPr>
            <a:xfrm>
              <a:off x="2897681" y="36160582"/>
              <a:ext cx="1277470" cy="3989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n-US" sz="1100" b="0" i="0" baseline="0">
                  <a:solidFill>
                    <a:schemeClr val="tx1"/>
                  </a:solidFill>
                  <a:effectLst/>
                  <a:latin typeface="Cambria Math" panose="02040503050406030204" pitchFamily="18" charset="0"/>
                  <a:ea typeface="+mn-ea"/>
                  <a:cs typeface="+mn-cs"/>
                </a:rPr>
                <a:t>(𝑛</a:t>
              </a:r>
              <a:r>
                <a:rPr lang="el-GR" sz="1100" b="0" i="0" baseline="0">
                  <a:solidFill>
                    <a:schemeClr val="tx1"/>
                  </a:solidFill>
                  <a:effectLst/>
                  <a:latin typeface="Cambria Math" panose="02040503050406030204" pitchFamily="18" charset="0"/>
                  <a:ea typeface="+mn-ea"/>
                  <a:cs typeface="+mn-cs"/>
                </a:rPr>
                <a:t>η</a:t>
              </a:r>
              <a:r>
                <a:rPr lang="en-US" sz="1100" b="0" i="0" baseline="-25000">
                  <a:solidFill>
                    <a:schemeClr val="tx1"/>
                  </a:solidFill>
                  <a:effectLst/>
                  <a:latin typeface="Cambria Math" panose="02040503050406030204" pitchFamily="18" charset="0"/>
                  <a:ea typeface="+mn-ea"/>
                  <a:cs typeface="+mn-cs"/>
                </a:rPr>
                <a:t>𝑝</a:t>
              </a:r>
              <a:r>
                <a:rPr lang="en-US" sz="1100" b="0" i="0" baseline="0">
                  <a:solidFill>
                    <a:schemeClr val="tx1"/>
                  </a:solidFill>
                  <a:effectLst/>
                  <a:latin typeface="Cambria Math" panose="02040503050406030204" pitchFamily="18" charset="0"/>
                  <a:ea typeface="+mn-ea"/>
                  <a:cs typeface="+mn-cs"/>
                </a:rPr>
                <a:t>𝐾</a:t>
              </a:r>
              <a:r>
                <a:rPr lang="az-Cyrl-AZ" sz="1100" b="0" i="0" baseline="0">
                  <a:solidFill>
                    <a:schemeClr val="tx1"/>
                  </a:solidFill>
                  <a:effectLst/>
                  <a:latin typeface="Cambria Math" panose="02040503050406030204" pitchFamily="18" charset="0"/>
                  <a:ea typeface="+mn-ea"/>
                  <a:cs typeface="+mn-cs"/>
                </a:rPr>
                <a:t>п</a:t>
              </a:r>
              <a:r>
                <a:rPr lang="en-US" sz="1100" b="0" i="0" baseline="30000">
                  <a:solidFill>
                    <a:schemeClr val="tx1"/>
                  </a:solidFill>
                  <a:effectLst/>
                  <a:latin typeface="Cambria Math" panose="02040503050406030204" pitchFamily="18" charset="0"/>
                  <a:ea typeface="+mn-ea"/>
                  <a:cs typeface="+mn-cs"/>
                </a:rPr>
                <a:t>2</a:t>
              </a:r>
              <a:r>
                <a:rPr lang="en-US" sz="1100" b="0" i="0" baseline="0">
                  <a:solidFill>
                    <a:schemeClr val="tx1"/>
                  </a:solidFill>
                  <a:effectLst/>
                  <a:latin typeface="Cambria Math" panose="02040503050406030204" pitchFamily="18" charset="0"/>
                  <a:ea typeface="+mn-ea"/>
                  <a:cs typeface="+mn-cs"/>
                </a:rPr>
                <a:t>𝐸</a:t>
              </a:r>
              <a:r>
                <a:rPr lang="en-US" sz="1100" b="0" i="0" baseline="-25000">
                  <a:solidFill>
                    <a:schemeClr val="tx1"/>
                  </a:solidFill>
                  <a:effectLst/>
                  <a:latin typeface="Cambria Math" panose="02040503050406030204" pitchFamily="18" charset="0"/>
                  <a:ea typeface="+mn-ea"/>
                  <a:cs typeface="+mn-cs"/>
                </a:rPr>
                <a:t>𝐶 </a:t>
              </a:r>
              <a:r>
                <a:rPr lang="en-US" sz="1100" b="0" i="0" baseline="0">
                  <a:solidFill>
                    <a:schemeClr val="tx1"/>
                  </a:solidFill>
                  <a:effectLst/>
                  <a:latin typeface="Cambria Math" panose="02040503050406030204" pitchFamily="18" charset="0"/>
                  <a:ea typeface="+mn-ea"/>
                  <a:cs typeface="+mn-cs"/>
                </a:rPr>
                <a:t>𝑇𝑅𝐹)/12(1−µ</a:t>
              </a:r>
              <a:r>
                <a:rPr lang="en-US" sz="1100" b="0" i="0" baseline="30000">
                  <a:solidFill>
                    <a:schemeClr val="tx1"/>
                  </a:solidFill>
                  <a:effectLst/>
                  <a:latin typeface="Cambria Math" panose="02040503050406030204" pitchFamily="18" charset="0"/>
                  <a:ea typeface="+mn-ea"/>
                  <a:cs typeface="+mn-cs"/>
                </a:rPr>
                <a:t>2) </a:t>
              </a:r>
              <a:r>
                <a:rPr lang="en-US" sz="1100" b="0" i="0" baseline="0">
                  <a:solidFill>
                    <a:schemeClr val="tx1"/>
                  </a:solidFill>
                  <a:effectLst/>
                  <a:latin typeface="Cambria Math" panose="02040503050406030204" pitchFamily="18" charset="0"/>
                  <a:ea typeface="+mn-ea"/>
                  <a:cs typeface="+mn-cs"/>
                </a:rPr>
                <a:t> (𝑡/𝑏)</a:t>
              </a:r>
              <a:r>
                <a:rPr lang="en-US" sz="1100" b="0" i="0" baseline="30000">
                  <a:solidFill>
                    <a:schemeClr val="tx1"/>
                  </a:solidFill>
                  <a:effectLst/>
                  <a:latin typeface="Cambria Math" panose="02040503050406030204" pitchFamily="18" charset="0"/>
                  <a:ea typeface="+mn-ea"/>
                  <a:cs typeface="+mn-cs"/>
                </a:rPr>
                <a:t>2</a:t>
              </a:r>
              <a:endParaRPr lang="en-US" sz="1100" b="0" i="0" u="none" strike="noStrike" baseline="30000" smtClean="0">
                <a:solidFill>
                  <a:schemeClr val="tx1"/>
                </a:solidFill>
                <a:latin typeface="+mn-lt"/>
                <a:ea typeface="+mn-ea"/>
                <a:cs typeface="+mn-cs"/>
              </a:endParaRPr>
            </a:p>
          </xdr:txBody>
        </xdr:sp>
      </mc:Fallback>
    </mc:AlternateContent>
    <xdr:clientData/>
  </xdr:oneCellAnchor>
  <xdr:oneCellAnchor>
    <xdr:from>
      <xdr:col>1</xdr:col>
      <xdr:colOff>626967</xdr:colOff>
      <xdr:row>137</xdr:row>
      <xdr:rowOff>89088</xdr:rowOff>
    </xdr:from>
    <xdr:ext cx="1878107" cy="172227"/>
    <mc:AlternateContent xmlns:mc="http://schemas.openxmlformats.org/markup-compatibility/2006" xmlns:a14="http://schemas.microsoft.com/office/drawing/2010/main">
      <mc:Choice Requires="a14">
        <xdr:sp macro="" textlink="">
          <xdr:nvSpPr>
            <xdr:cNvPr id="93" name="TextBox 92">
              <a:extLst>
                <a:ext uri="{FF2B5EF4-FFF2-40B4-BE49-F238E27FC236}">
                  <a16:creationId xmlns:a16="http://schemas.microsoft.com/office/drawing/2014/main" id="{00000000-0008-0000-0200-00005D000000}"/>
                </a:ext>
              </a:extLst>
            </xdr:cNvPr>
            <xdr:cNvSpPr txBox="1"/>
          </xdr:nvSpPr>
          <xdr:spPr>
            <a:xfrm>
              <a:off x="2503392" y="38589138"/>
              <a:ext cx="187810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r>
                    <m:rPr>
                      <m:nor/>
                    </m:rPr>
                    <a:rPr lang="en-US" sz="1100" b="0" i="1" baseline="0">
                      <a:solidFill>
                        <a:schemeClr val="tx1"/>
                      </a:solidFill>
                      <a:effectLst/>
                      <a:latin typeface="+mn-lt"/>
                      <a:ea typeface="+mn-ea"/>
                      <a:cs typeface="+mn-cs"/>
                    </a:rPr>
                    <m:t>F</m:t>
                  </m:r>
                  <m:r>
                    <m:rPr>
                      <m:nor/>
                    </m:rPr>
                    <a:rPr lang="en-US" sz="1100" b="0" i="0" baseline="-25000">
                      <a:solidFill>
                        <a:schemeClr val="tx1"/>
                      </a:solidFill>
                      <a:effectLst/>
                      <a:latin typeface="+mn-lt"/>
                      <a:ea typeface="+mn-ea"/>
                      <a:cs typeface="+mn-cs"/>
                    </a:rPr>
                    <m:t>allow</m:t>
                  </m:r>
                  <m:r>
                    <a:rPr lang="en-US" sz="1100" b="0" i="0" baseline="-25000">
                      <a:solidFill>
                        <a:schemeClr val="tx1"/>
                      </a:solidFill>
                      <a:effectLst/>
                      <a:latin typeface="Cambria Math" panose="02040503050406030204" pitchFamily="18" charset="0"/>
                      <a:ea typeface="+mn-ea"/>
                      <a:cs typeface="+mn-cs"/>
                    </a:rPr>
                    <m:t>=</m:t>
                  </m:r>
                  <m:r>
                    <m:rPr>
                      <m:sty m:val="p"/>
                    </m:rPr>
                    <a:rPr lang="en-US" sz="1100" i="0">
                      <a:latin typeface="Cambria Math" panose="02040503050406030204" pitchFamily="18" charset="0"/>
                      <a:ea typeface="Cambria Math" panose="02040503050406030204" pitchFamily="18" charset="0"/>
                    </a:rPr>
                    <m:t>min</m:t>
                  </m:r>
                  <m:r>
                    <a:rPr lang="en-US" sz="1100" b="0" i="1">
                      <a:latin typeface="Cambria Math" panose="02040503050406030204" pitchFamily="18" charset="0"/>
                      <a:ea typeface="Cambria Math" panose="02040503050406030204" pitchFamily="18" charset="0"/>
                    </a:rPr>
                    <m:t>⁡(</m:t>
                  </m:r>
                  <m:r>
                    <a:rPr lang="en-US" sz="1100" i="1">
                      <a:solidFill>
                        <a:schemeClr val="tx1"/>
                      </a:solidFill>
                      <a:effectLst/>
                      <a:latin typeface="Cambria Math" panose="02040503050406030204" pitchFamily="18" charset="0"/>
                      <a:ea typeface="+mn-ea"/>
                      <a:cs typeface="+mn-cs"/>
                    </a:rPr>
                    <m:t>𝐹</m:t>
                  </m:r>
                  <m:r>
                    <a:rPr lang="en-US" sz="1100" b="0" i="1" baseline="-25000">
                      <a:solidFill>
                        <a:schemeClr val="tx1"/>
                      </a:solidFill>
                      <a:effectLst/>
                      <a:latin typeface="Cambria Math" panose="02040503050406030204" pitchFamily="18" charset="0"/>
                      <a:ea typeface="+mn-ea"/>
                      <a:cs typeface="+mn-cs"/>
                    </a:rPr>
                    <m:t>𝑐𝑟</m:t>
                  </m:r>
                  <m:r>
                    <a:rPr lang="en-US" sz="1100" b="0" i="1" baseline="-25000">
                      <a:solidFill>
                        <a:schemeClr val="tx1"/>
                      </a:solidFill>
                      <a:effectLst/>
                      <a:latin typeface="Cambria Math" panose="02040503050406030204" pitchFamily="18" charset="0"/>
                      <a:ea typeface="+mn-ea"/>
                      <a:cs typeface="+mn-cs"/>
                    </a:rPr>
                    <m:t> </m:t>
                  </m:r>
                  <m:r>
                    <a:rPr lang="en-US" sz="1100" b="0" i="1" baseline="-25000">
                      <a:solidFill>
                        <a:schemeClr val="tx1"/>
                      </a:solidFill>
                      <a:effectLst/>
                      <a:latin typeface="Cambria Math" panose="02040503050406030204" pitchFamily="18" charset="0"/>
                      <a:ea typeface="+mn-ea"/>
                      <a:cs typeface="+mn-cs"/>
                    </a:rPr>
                    <m:t>𝑐</m:t>
                  </m:r>
                  <m:r>
                    <a:rPr lang="en-US" sz="1100" b="0" i="1" baseline="-25000">
                      <a:solidFill>
                        <a:schemeClr val="tx1"/>
                      </a:solidFill>
                      <a:effectLst/>
                      <a:latin typeface="Cambria Math" panose="02040503050406030204" pitchFamily="18" charset="0"/>
                      <a:ea typeface="+mn-ea"/>
                      <a:cs typeface="+mn-cs"/>
                    </a:rPr>
                    <m:t>,</m:t>
                  </m:r>
                  <m:r>
                    <a:rPr lang="en-US" sz="1100" b="0" i="1" baseline="-25000">
                      <a:solidFill>
                        <a:schemeClr val="tx1"/>
                      </a:solidFill>
                      <a:effectLst/>
                      <a:latin typeface="Cambria Math" panose="02040503050406030204" pitchFamily="18" charset="0"/>
                      <a:ea typeface="+mn-ea"/>
                      <a:cs typeface="+mn-cs"/>
                    </a:rPr>
                    <m:t>𝑠</m:t>
                  </m:r>
                </m:oMath>
              </a14:m>
              <a:r>
                <a:rPr lang="en-US">
                  <a:effectLst/>
                </a:rPr>
                <a:t> , F</a:t>
              </a:r>
              <a:r>
                <a:rPr lang="en-US" baseline="-25000">
                  <a:effectLst/>
                </a:rPr>
                <a:t>cy</a:t>
              </a:r>
              <a:r>
                <a:rPr lang="en-US">
                  <a:effectLst/>
                </a:rPr>
                <a:t> x TRF)</a:t>
              </a:r>
              <a:endParaRPr lang="en-US" sz="1100" baseline="-25000"/>
            </a:p>
          </xdr:txBody>
        </xdr:sp>
      </mc:Choice>
      <mc:Fallback xmlns="">
        <xdr:sp macro="" textlink="">
          <xdr:nvSpPr>
            <xdr:cNvPr id="93" name="TextBox 92">
              <a:extLst>
                <a:ext uri="{FF2B5EF4-FFF2-40B4-BE49-F238E27FC236}">
                  <a16:creationId xmlns:a16="http://schemas.microsoft.com/office/drawing/2014/main" id="{00000000-0008-0000-0200-00005D000000}"/>
                </a:ext>
              </a:extLst>
            </xdr:cNvPr>
            <xdr:cNvSpPr txBox="1"/>
          </xdr:nvSpPr>
          <xdr:spPr>
            <a:xfrm>
              <a:off x="2503392" y="38589138"/>
              <a:ext cx="187810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tx1"/>
                  </a:solidFill>
                  <a:effectLst/>
                  <a:latin typeface="Cambria Math" panose="02040503050406030204" pitchFamily="18" charset="0"/>
                  <a:ea typeface="+mn-ea"/>
                  <a:cs typeface="+mn-cs"/>
                </a:rPr>
                <a:t>"F</a:t>
              </a:r>
              <a:r>
                <a:rPr lang="en-US" sz="1100" b="0" i="0" baseline="-25000">
                  <a:solidFill>
                    <a:schemeClr val="tx1"/>
                  </a:solidFill>
                  <a:effectLst/>
                  <a:latin typeface="Cambria Math" panose="02040503050406030204" pitchFamily="18" charset="0"/>
                  <a:ea typeface="+mn-ea"/>
                  <a:cs typeface="+mn-cs"/>
                </a:rPr>
                <a:t>allow"=</a:t>
              </a:r>
              <a:r>
                <a:rPr lang="en-US" sz="1100" i="0">
                  <a:latin typeface="Cambria Math" panose="02040503050406030204" pitchFamily="18" charset="0"/>
                  <a:ea typeface="Cambria Math" panose="02040503050406030204" pitchFamily="18" charset="0"/>
                </a:rPr>
                <a:t>min</a:t>
              </a:r>
              <a:r>
                <a:rPr lang="en-US" sz="1100" b="0" i="0">
                  <a:latin typeface="Cambria Math" panose="02040503050406030204" pitchFamily="18" charset="0"/>
                  <a:ea typeface="Cambria Math" panose="02040503050406030204" pitchFamily="18" charset="0"/>
                </a:rPr>
                <a:t>⁡(</a:t>
              </a:r>
              <a:r>
                <a:rPr lang="en-US" sz="1100" i="0">
                  <a:solidFill>
                    <a:schemeClr val="tx1"/>
                  </a:solidFill>
                  <a:effectLst/>
                  <a:latin typeface="Cambria Math" panose="02040503050406030204" pitchFamily="18" charset="0"/>
                  <a:ea typeface="+mn-ea"/>
                  <a:cs typeface="+mn-cs"/>
                </a:rPr>
                <a:t>𝐹</a:t>
              </a:r>
              <a:r>
                <a:rPr lang="en-US" sz="1100" b="0" i="0" baseline="-25000">
                  <a:solidFill>
                    <a:schemeClr val="tx1"/>
                  </a:solidFill>
                  <a:effectLst/>
                  <a:latin typeface="Cambria Math" panose="02040503050406030204" pitchFamily="18" charset="0"/>
                  <a:ea typeface="+mn-ea"/>
                  <a:cs typeface="+mn-cs"/>
                </a:rPr>
                <a:t>𝑐𝑟 𝑐,𝑠</a:t>
              </a:r>
              <a:r>
                <a:rPr lang="en-US">
                  <a:effectLst/>
                </a:rPr>
                <a:t> , F</a:t>
              </a:r>
              <a:r>
                <a:rPr lang="en-US" baseline="-25000">
                  <a:effectLst/>
                </a:rPr>
                <a:t>cy</a:t>
              </a:r>
              <a:r>
                <a:rPr lang="en-US">
                  <a:effectLst/>
                </a:rPr>
                <a:t> x TRF)</a:t>
              </a:r>
              <a:endParaRPr lang="en-US" sz="1100" baseline="-25000"/>
            </a:p>
          </xdr:txBody>
        </xdr:sp>
      </mc:Fallback>
    </mc:AlternateContent>
    <xdr:clientData/>
  </xdr:oneCellAnchor>
  <xdr:oneCellAnchor>
    <xdr:from>
      <xdr:col>1</xdr:col>
      <xdr:colOff>1095375</xdr:colOff>
      <xdr:row>126</xdr:row>
      <xdr:rowOff>84604</xdr:rowOff>
    </xdr:from>
    <xdr:ext cx="819150" cy="371475"/>
    <mc:AlternateContent xmlns:mc="http://schemas.openxmlformats.org/markup-compatibility/2006" xmlns:a14="http://schemas.microsoft.com/office/drawing/2010/main">
      <mc:Choice Requires="a14">
        <xdr:sp macro="" textlink="">
          <xdr:nvSpPr>
            <xdr:cNvPr id="95" name="TextBox 94">
              <a:extLst>
                <a:ext uri="{FF2B5EF4-FFF2-40B4-BE49-F238E27FC236}">
                  <a16:creationId xmlns:a16="http://schemas.microsoft.com/office/drawing/2014/main" id="{00000000-0008-0000-0200-00005F000000}"/>
                </a:ext>
              </a:extLst>
            </xdr:cNvPr>
            <xdr:cNvSpPr txBox="1"/>
          </xdr:nvSpPr>
          <xdr:spPr>
            <a:xfrm>
              <a:off x="2990850" y="35222329"/>
              <a:ext cx="819150"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f>
                    <m:fPr>
                      <m:ctrlPr>
                        <a:rPr lang="en-US" sz="1100" b="0" i="1" u="none" strike="noStrike" baseline="0" smtClean="0">
                          <a:solidFill>
                            <a:schemeClr val="tx1"/>
                          </a:solidFill>
                          <a:latin typeface="Cambria Math" panose="02040503050406030204" pitchFamily="18" charset="0"/>
                          <a:ea typeface="+mn-ea"/>
                          <a:cs typeface="+mn-cs"/>
                        </a:rPr>
                      </m:ctrlPr>
                    </m:fPr>
                    <m:num>
                      <m:r>
                        <m:rPr>
                          <m:nor/>
                        </m:rPr>
                        <a:rPr lang="en-US" sz="1100" b="0" i="1" u="none" strike="noStrike" baseline="0" smtClean="0">
                          <a:solidFill>
                            <a:schemeClr val="tx1"/>
                          </a:solidFill>
                          <a:latin typeface="Cambria Math" panose="02040503050406030204" pitchFamily="18" charset="0"/>
                          <a:ea typeface="+mn-ea"/>
                          <a:cs typeface="+mn-cs"/>
                        </a:rPr>
                        <m:t>F</m:t>
                      </m:r>
                      <m:r>
                        <m:rPr>
                          <m:nor/>
                        </m:rPr>
                        <a:rPr lang="en-US" sz="1100" b="0" i="0" baseline="-25000">
                          <a:solidFill>
                            <a:schemeClr val="tx1"/>
                          </a:solidFill>
                          <a:effectLst/>
                          <a:latin typeface="+mn-lt"/>
                          <a:ea typeface="+mn-ea"/>
                          <a:cs typeface="+mn-cs"/>
                        </a:rPr>
                        <m:t>allow</m:t>
                      </m:r>
                      <m:r>
                        <m:rPr>
                          <m:nor/>
                        </m:rPr>
                        <a:rPr lang="en-US" sz="1100" b="0" i="0" baseline="-25000">
                          <a:solidFill>
                            <a:schemeClr val="tx1"/>
                          </a:solidFill>
                          <a:effectLst/>
                          <a:latin typeface="+mn-lt"/>
                          <a:ea typeface="+mn-ea"/>
                          <a:cs typeface="+mn-cs"/>
                        </a:rPr>
                        <m:t> </m:t>
                      </m:r>
                      <m:r>
                        <m:rPr>
                          <m:nor/>
                        </m:rPr>
                        <a:rPr lang="en-US" sz="1100" b="0" i="0" baseline="0">
                          <a:solidFill>
                            <a:schemeClr val="tx1"/>
                          </a:solidFill>
                          <a:effectLst/>
                          <a:latin typeface="+mn-lt"/>
                          <a:ea typeface="+mn-ea"/>
                          <a:cs typeface="+mn-cs"/>
                        </a:rPr>
                        <m:t>x</m:t>
                      </m:r>
                      <m:r>
                        <m:rPr>
                          <m:nor/>
                        </m:rPr>
                        <a:rPr lang="en-US" sz="1100" b="0" i="0" baseline="0">
                          <a:solidFill>
                            <a:schemeClr val="tx1"/>
                          </a:solidFill>
                          <a:effectLst/>
                          <a:latin typeface="+mn-lt"/>
                          <a:ea typeface="+mn-ea"/>
                          <a:cs typeface="+mn-cs"/>
                        </a:rPr>
                        <m:t> </m:t>
                      </m:r>
                      <m:r>
                        <a:rPr lang="en-US" sz="1100" b="0" i="1" baseline="0">
                          <a:solidFill>
                            <a:schemeClr val="tx1"/>
                          </a:solidFill>
                          <a:effectLst/>
                          <a:latin typeface="Cambria Math" panose="02040503050406030204" pitchFamily="18" charset="0"/>
                          <a:ea typeface="+mn-ea"/>
                          <a:cs typeface="+mn-cs"/>
                        </a:rPr>
                        <m:t>𝑇𝑅𝐹</m:t>
                      </m:r>
                    </m:num>
                    <m:den>
                      <m:r>
                        <m:rPr>
                          <m:nor/>
                        </m:rPr>
                        <a:rPr lang="en-US" sz="1100" b="0" i="0" baseline="0">
                          <a:solidFill>
                            <a:schemeClr val="tx1"/>
                          </a:solidFill>
                          <a:effectLst/>
                          <a:latin typeface="+mn-lt"/>
                          <a:ea typeface="+mn-ea"/>
                          <a:cs typeface="+mn-cs"/>
                        </a:rPr>
                        <m:t>|</m:t>
                      </m:r>
                      <m:r>
                        <m:rPr>
                          <m:nor/>
                        </m:rPr>
                        <a:rPr lang="en-US" sz="1100" b="0" i="0" baseline="0">
                          <a:solidFill>
                            <a:schemeClr val="tx1"/>
                          </a:solidFill>
                          <a:effectLst/>
                          <a:latin typeface="+mn-lt"/>
                          <a:ea typeface="+mn-ea"/>
                          <a:cs typeface="+mn-cs"/>
                        </a:rPr>
                        <m:t>𝜎</m:t>
                      </m:r>
                      <m:r>
                        <m:rPr>
                          <m:nor/>
                        </m:rPr>
                        <a:rPr lang="en-US" sz="1100" b="0" i="0" baseline="-25000">
                          <a:solidFill>
                            <a:schemeClr val="tx1"/>
                          </a:solidFill>
                          <a:effectLst/>
                          <a:latin typeface="+mn-lt"/>
                          <a:ea typeface="+mn-ea"/>
                          <a:cs typeface="+mn-cs"/>
                        </a:rPr>
                        <m:t>NL</m:t>
                      </m:r>
                      <m:r>
                        <m:rPr>
                          <m:nor/>
                        </m:rPr>
                        <a:rPr lang="en-US" sz="1100" b="0" i="0" baseline="0">
                          <a:solidFill>
                            <a:schemeClr val="tx1"/>
                          </a:solidFill>
                          <a:effectLst/>
                          <a:latin typeface="+mn-lt"/>
                          <a:ea typeface="+mn-ea"/>
                          <a:cs typeface="+mn-cs"/>
                        </a:rPr>
                        <m:t>| </m:t>
                      </m:r>
                    </m:den>
                  </m:f>
                </m:oMath>
              </a14:m>
              <a:r>
                <a:rPr lang="en-US" sz="1100" b="0" i="0" u="none" strike="noStrike" baseline="0">
                  <a:solidFill>
                    <a:schemeClr val="tx1"/>
                  </a:solidFill>
                  <a:latin typeface="+mn-lt"/>
                  <a:ea typeface="+mn-ea"/>
                  <a:cs typeface="+mn-cs"/>
                </a:rPr>
                <a:t> - 1</a:t>
              </a:r>
            </a:p>
          </xdr:txBody>
        </xdr:sp>
      </mc:Choice>
      <mc:Fallback xmlns="">
        <xdr:sp macro="" textlink="">
          <xdr:nvSpPr>
            <xdr:cNvPr id="95" name="TextBox 94"/>
            <xdr:cNvSpPr txBox="1"/>
          </xdr:nvSpPr>
          <xdr:spPr>
            <a:xfrm>
              <a:off x="2990850" y="35222329"/>
              <a:ext cx="819150"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n-US" sz="1100" b="0" i="0" u="none" strike="noStrike" baseline="0" smtClean="0">
                  <a:solidFill>
                    <a:schemeClr val="tx1"/>
                  </a:solidFill>
                  <a:latin typeface="Cambria Math" panose="02040503050406030204" pitchFamily="18" charset="0"/>
                  <a:ea typeface="+mn-ea"/>
                  <a:cs typeface="+mn-cs"/>
                </a:rPr>
                <a:t>("F</a:t>
              </a:r>
              <a:r>
                <a:rPr lang="en-US" sz="1100" b="0" i="0" baseline="-25000">
                  <a:solidFill>
                    <a:schemeClr val="tx1"/>
                  </a:solidFill>
                  <a:effectLst/>
                  <a:latin typeface="+mn-lt"/>
                  <a:ea typeface="+mn-ea"/>
                  <a:cs typeface="+mn-cs"/>
                </a:rPr>
                <a:t>allow </a:t>
              </a:r>
              <a:r>
                <a:rPr lang="en-US" sz="1100" b="0" i="0" baseline="0">
                  <a:solidFill>
                    <a:schemeClr val="tx1"/>
                  </a:solidFill>
                  <a:effectLst/>
                  <a:latin typeface="+mn-lt"/>
                  <a:ea typeface="+mn-ea"/>
                  <a:cs typeface="+mn-cs"/>
                </a:rPr>
                <a:t>x </a:t>
              </a:r>
              <a:r>
                <a:rPr lang="en-US" sz="1100" b="0" i="0" baseline="0">
                  <a:solidFill>
                    <a:schemeClr val="tx1"/>
                  </a:solidFill>
                  <a:effectLst/>
                  <a:latin typeface="Cambria Math" panose="02040503050406030204" pitchFamily="18" charset="0"/>
                  <a:ea typeface="+mn-ea"/>
                  <a:cs typeface="+mn-cs"/>
                </a:rPr>
                <a:t>" 𝑇𝑅𝐹</a:t>
              </a:r>
              <a:r>
                <a:rPr lang="en-US" sz="1100" b="0" i="0" u="none" strike="noStrike" baseline="0" smtClean="0">
                  <a:solidFill>
                    <a:schemeClr val="tx1"/>
                  </a:solidFill>
                  <a:effectLst/>
                  <a:latin typeface="Cambria Math" panose="02040503050406030204" pitchFamily="18" charset="0"/>
                  <a:ea typeface="+mn-ea"/>
                  <a:cs typeface="+mn-cs"/>
                </a:rPr>
                <a:t>)/</a:t>
              </a:r>
              <a:r>
                <a:rPr lang="en-US" sz="1100" b="0" i="0" u="none" strike="noStrike" baseline="0">
                  <a:solidFill>
                    <a:schemeClr val="tx1"/>
                  </a:solidFill>
                  <a:effectLst/>
                  <a:latin typeface="+mn-lt"/>
                  <a:ea typeface="+mn-ea"/>
                  <a:cs typeface="+mn-cs"/>
                </a:rPr>
                <a:t>"</a:t>
              </a:r>
              <a:r>
                <a:rPr lang="en-US" sz="1100" b="0" i="0" baseline="0">
                  <a:solidFill>
                    <a:schemeClr val="tx1"/>
                  </a:solidFill>
                  <a:effectLst/>
                  <a:latin typeface="+mn-lt"/>
                  <a:ea typeface="+mn-ea"/>
                  <a:cs typeface="+mn-cs"/>
                </a:rPr>
                <a:t>|𝜎</a:t>
              </a:r>
              <a:r>
                <a:rPr lang="en-US" sz="1100" b="0" i="0" baseline="-25000">
                  <a:solidFill>
                    <a:schemeClr val="tx1"/>
                  </a:solidFill>
                  <a:effectLst/>
                  <a:latin typeface="+mn-lt"/>
                  <a:ea typeface="+mn-ea"/>
                  <a:cs typeface="+mn-cs"/>
                </a:rPr>
                <a:t>NL</a:t>
              </a:r>
              <a:r>
                <a:rPr lang="en-US" sz="1100" b="0" i="0" baseline="0">
                  <a:solidFill>
                    <a:schemeClr val="tx1"/>
                  </a:solidFill>
                  <a:effectLst/>
                  <a:latin typeface="+mn-lt"/>
                  <a:ea typeface="+mn-ea"/>
                  <a:cs typeface="+mn-cs"/>
                </a:rPr>
                <a:t>| </a:t>
              </a:r>
              <a:r>
                <a:rPr lang="en-US" sz="1100" b="0" i="0" baseline="0">
                  <a:solidFill>
                    <a:schemeClr val="tx1"/>
                  </a:solidFill>
                  <a:effectLst/>
                  <a:latin typeface="Cambria Math" panose="02040503050406030204" pitchFamily="18" charset="0"/>
                  <a:ea typeface="+mn-ea"/>
                  <a:cs typeface="+mn-cs"/>
                </a:rPr>
                <a:t>" </a:t>
              </a:r>
              <a:r>
                <a:rPr lang="en-US" sz="1100" b="0" i="0" u="none" strike="noStrike" baseline="0" smtClean="0">
                  <a:solidFill>
                    <a:schemeClr val="tx1"/>
                  </a:solidFill>
                  <a:latin typeface="+mn-lt"/>
                  <a:ea typeface="+mn-ea"/>
                  <a:cs typeface="+mn-cs"/>
                </a:rPr>
                <a:t> - 1</a:t>
              </a:r>
            </a:p>
          </xdr:txBody>
        </xdr:sp>
      </mc:Fallback>
    </mc:AlternateContent>
    <xdr:clientData/>
  </xdr:oneCellAnchor>
  <xdr:oneCellAnchor>
    <xdr:from>
      <xdr:col>1</xdr:col>
      <xdr:colOff>1238250</xdr:colOff>
      <xdr:row>137</xdr:row>
      <xdr:rowOff>379319</xdr:rowOff>
    </xdr:from>
    <xdr:ext cx="819150" cy="371475"/>
    <mc:AlternateContent xmlns:mc="http://schemas.openxmlformats.org/markup-compatibility/2006" xmlns:a14="http://schemas.microsoft.com/office/drawing/2010/main">
      <mc:Choice Requires="a14">
        <xdr:sp macro="" textlink="">
          <xdr:nvSpPr>
            <xdr:cNvPr id="97" name="TextBox 96">
              <a:extLst>
                <a:ext uri="{FF2B5EF4-FFF2-40B4-BE49-F238E27FC236}">
                  <a16:creationId xmlns:a16="http://schemas.microsoft.com/office/drawing/2014/main" id="{00000000-0008-0000-0200-000061000000}"/>
                </a:ext>
              </a:extLst>
            </xdr:cNvPr>
            <xdr:cNvSpPr txBox="1"/>
          </xdr:nvSpPr>
          <xdr:spPr>
            <a:xfrm>
              <a:off x="3133725" y="38374544"/>
              <a:ext cx="819150"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f>
                    <m:fPr>
                      <m:ctrlPr>
                        <a:rPr lang="en-US" sz="1100" b="0" i="1" u="none" strike="noStrike" baseline="0" smtClean="0">
                          <a:solidFill>
                            <a:schemeClr val="tx1"/>
                          </a:solidFill>
                          <a:latin typeface="Cambria Math" panose="02040503050406030204" pitchFamily="18" charset="0"/>
                          <a:ea typeface="+mn-ea"/>
                          <a:cs typeface="+mn-cs"/>
                        </a:rPr>
                      </m:ctrlPr>
                    </m:fPr>
                    <m:num>
                      <m:r>
                        <m:rPr>
                          <m:nor/>
                        </m:rPr>
                        <a:rPr lang="en-US" sz="1100" b="0" i="1" u="none" strike="noStrike" baseline="0" smtClean="0">
                          <a:solidFill>
                            <a:schemeClr val="tx1"/>
                          </a:solidFill>
                          <a:latin typeface="Cambria Math" panose="02040503050406030204" pitchFamily="18" charset="0"/>
                          <a:ea typeface="+mn-ea"/>
                          <a:cs typeface="+mn-cs"/>
                        </a:rPr>
                        <m:t>F</m:t>
                      </m:r>
                      <m:r>
                        <m:rPr>
                          <m:nor/>
                        </m:rPr>
                        <a:rPr lang="en-US" sz="1100" b="0" i="0" baseline="-25000">
                          <a:solidFill>
                            <a:schemeClr val="tx1"/>
                          </a:solidFill>
                          <a:effectLst/>
                          <a:latin typeface="+mn-lt"/>
                          <a:ea typeface="+mn-ea"/>
                          <a:cs typeface="+mn-cs"/>
                        </a:rPr>
                        <m:t>allow</m:t>
                      </m:r>
                    </m:num>
                    <m:den>
                      <m:r>
                        <m:rPr>
                          <m:nor/>
                        </m:rPr>
                        <a:rPr lang="en-US" sz="1100" b="0" i="0" baseline="0">
                          <a:solidFill>
                            <a:schemeClr val="tx1"/>
                          </a:solidFill>
                          <a:effectLst/>
                          <a:latin typeface="+mn-lt"/>
                          <a:ea typeface="+mn-ea"/>
                          <a:cs typeface="+mn-cs"/>
                        </a:rPr>
                        <m:t>|</m:t>
                      </m:r>
                      <m:r>
                        <m:rPr>
                          <m:nor/>
                        </m:rPr>
                        <a:rPr lang="en-US" sz="1100" b="0" i="0" baseline="0">
                          <a:solidFill>
                            <a:schemeClr val="tx1"/>
                          </a:solidFill>
                          <a:effectLst/>
                          <a:latin typeface="+mn-lt"/>
                          <a:ea typeface="+mn-ea"/>
                          <a:cs typeface="+mn-cs"/>
                        </a:rPr>
                        <m:t>𝜎</m:t>
                      </m:r>
                      <m:r>
                        <m:rPr>
                          <m:nor/>
                        </m:rPr>
                        <a:rPr lang="en-US" sz="1100" b="0" i="0" baseline="-25000">
                          <a:solidFill>
                            <a:schemeClr val="tx1"/>
                          </a:solidFill>
                          <a:effectLst/>
                          <a:latin typeface="+mn-lt"/>
                          <a:ea typeface="+mn-ea"/>
                          <a:cs typeface="+mn-cs"/>
                        </a:rPr>
                        <m:t>buck</m:t>
                      </m:r>
                      <m:r>
                        <m:rPr>
                          <m:nor/>
                        </m:rPr>
                        <a:rPr lang="en-US" sz="1100" b="0" i="0" baseline="0">
                          <a:solidFill>
                            <a:schemeClr val="tx1"/>
                          </a:solidFill>
                          <a:effectLst/>
                          <a:latin typeface="+mn-lt"/>
                          <a:ea typeface="+mn-ea"/>
                          <a:cs typeface="+mn-cs"/>
                        </a:rPr>
                        <m:t>| </m:t>
                      </m:r>
                    </m:den>
                  </m:f>
                </m:oMath>
              </a14:m>
              <a:r>
                <a:rPr lang="en-US" sz="1100" b="0" i="0" u="none" strike="noStrike" baseline="0">
                  <a:solidFill>
                    <a:schemeClr val="tx1"/>
                  </a:solidFill>
                  <a:latin typeface="+mn-lt"/>
                  <a:ea typeface="+mn-ea"/>
                  <a:cs typeface="+mn-cs"/>
                </a:rPr>
                <a:t> - 1</a:t>
              </a:r>
            </a:p>
          </xdr:txBody>
        </xdr:sp>
      </mc:Choice>
      <mc:Fallback xmlns="">
        <xdr:sp macro="" textlink="">
          <xdr:nvSpPr>
            <xdr:cNvPr id="97" name="TextBox 96"/>
            <xdr:cNvSpPr txBox="1"/>
          </xdr:nvSpPr>
          <xdr:spPr>
            <a:xfrm>
              <a:off x="3133725" y="38374544"/>
              <a:ext cx="819150"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n-US" sz="1100" b="0" i="0" u="none" strike="noStrike" baseline="0" smtClean="0">
                  <a:solidFill>
                    <a:schemeClr val="tx1"/>
                  </a:solidFill>
                  <a:latin typeface="Cambria Math" panose="02040503050406030204" pitchFamily="18" charset="0"/>
                  <a:ea typeface="+mn-ea"/>
                  <a:cs typeface="+mn-cs"/>
                </a:rPr>
                <a:t>"F</a:t>
              </a:r>
              <a:r>
                <a:rPr lang="en-US" sz="1100" b="0" i="0" baseline="-25000">
                  <a:solidFill>
                    <a:schemeClr val="tx1"/>
                  </a:solidFill>
                  <a:effectLst/>
                  <a:latin typeface="+mn-lt"/>
                  <a:ea typeface="+mn-ea"/>
                  <a:cs typeface="+mn-cs"/>
                </a:rPr>
                <a:t>allow</a:t>
              </a:r>
              <a:r>
                <a:rPr lang="en-US" sz="1100" b="0" i="0" baseline="-25000">
                  <a:solidFill>
                    <a:schemeClr val="tx1"/>
                  </a:solidFill>
                  <a:effectLst/>
                  <a:latin typeface="Cambria Math" panose="02040503050406030204" pitchFamily="18" charset="0"/>
                  <a:ea typeface="+mn-ea"/>
                  <a:cs typeface="+mn-cs"/>
                </a:rPr>
                <a:t>" </a:t>
              </a:r>
              <a:r>
                <a:rPr lang="en-US" sz="1100" b="0" i="0" u="none" strike="noStrike" baseline="0" smtClean="0">
                  <a:solidFill>
                    <a:schemeClr val="tx1"/>
                  </a:solidFill>
                  <a:effectLst/>
                  <a:latin typeface="Cambria Math" panose="02040503050406030204" pitchFamily="18" charset="0"/>
                  <a:ea typeface="+mn-ea"/>
                  <a:cs typeface="+mn-cs"/>
                </a:rPr>
                <a:t>/</a:t>
              </a:r>
              <a:r>
                <a:rPr lang="en-US" sz="1100" b="0" i="0" u="none" strike="noStrike" baseline="0">
                  <a:solidFill>
                    <a:schemeClr val="tx1"/>
                  </a:solidFill>
                  <a:effectLst/>
                  <a:latin typeface="+mn-lt"/>
                  <a:ea typeface="+mn-ea"/>
                  <a:cs typeface="+mn-cs"/>
                </a:rPr>
                <a:t>"</a:t>
              </a:r>
              <a:r>
                <a:rPr lang="en-US" sz="1100" b="0" i="0" baseline="0">
                  <a:solidFill>
                    <a:schemeClr val="tx1"/>
                  </a:solidFill>
                  <a:effectLst/>
                  <a:latin typeface="+mn-lt"/>
                  <a:ea typeface="+mn-ea"/>
                  <a:cs typeface="+mn-cs"/>
                </a:rPr>
                <a:t>|𝜎</a:t>
              </a:r>
              <a:r>
                <a:rPr lang="en-US" sz="1100" b="0" i="0" baseline="-25000">
                  <a:solidFill>
                    <a:schemeClr val="tx1"/>
                  </a:solidFill>
                  <a:effectLst/>
                  <a:latin typeface="+mn-lt"/>
                  <a:ea typeface="+mn-ea"/>
                  <a:cs typeface="+mn-cs"/>
                </a:rPr>
                <a:t>buck</a:t>
              </a:r>
              <a:r>
                <a:rPr lang="en-US" sz="1100" b="0" i="0" baseline="0">
                  <a:solidFill>
                    <a:schemeClr val="tx1"/>
                  </a:solidFill>
                  <a:effectLst/>
                  <a:latin typeface="+mn-lt"/>
                  <a:ea typeface="+mn-ea"/>
                  <a:cs typeface="+mn-cs"/>
                </a:rPr>
                <a:t>| </a:t>
              </a:r>
              <a:r>
                <a:rPr lang="en-US" sz="1100" b="0" i="0" baseline="0">
                  <a:solidFill>
                    <a:schemeClr val="tx1"/>
                  </a:solidFill>
                  <a:effectLst/>
                  <a:latin typeface="Cambria Math" panose="02040503050406030204" pitchFamily="18" charset="0"/>
                  <a:ea typeface="+mn-ea"/>
                  <a:cs typeface="+mn-cs"/>
                </a:rPr>
                <a:t>" </a:t>
              </a:r>
              <a:r>
                <a:rPr lang="en-US" sz="1100" b="0" i="0" u="none" strike="noStrike" baseline="0" smtClean="0">
                  <a:solidFill>
                    <a:schemeClr val="tx1"/>
                  </a:solidFill>
                  <a:latin typeface="+mn-lt"/>
                  <a:ea typeface="+mn-ea"/>
                  <a:cs typeface="+mn-cs"/>
                </a:rPr>
                <a:t> - 1</a:t>
              </a:r>
            </a:p>
          </xdr:txBody>
        </xdr:sp>
      </mc:Fallback>
    </mc:AlternateContent>
    <xdr:clientData/>
  </xdr:oneCellAnchor>
  <xdr:oneCellAnchor>
    <xdr:from>
      <xdr:col>1</xdr:col>
      <xdr:colOff>945777</xdr:colOff>
      <xdr:row>57</xdr:row>
      <xdr:rowOff>8405</xdr:rowOff>
    </xdr:from>
    <xdr:ext cx="847725" cy="319959"/>
    <mc:AlternateContent xmlns:mc="http://schemas.openxmlformats.org/markup-compatibility/2006" xmlns:a14="http://schemas.microsoft.com/office/drawing/2010/main">
      <mc:Choice Requires="a14">
        <xdr:sp macro="" textlink="">
          <xdr:nvSpPr>
            <xdr:cNvPr id="101" name="TextBox 100">
              <a:extLst>
                <a:ext uri="{FF2B5EF4-FFF2-40B4-BE49-F238E27FC236}">
                  <a16:creationId xmlns:a16="http://schemas.microsoft.com/office/drawing/2014/main" id="{00000000-0008-0000-0200-000065000000}"/>
                </a:ext>
              </a:extLst>
            </xdr:cNvPr>
            <xdr:cNvSpPr txBox="1"/>
          </xdr:nvSpPr>
          <xdr:spPr>
            <a:xfrm>
              <a:off x="2984127" y="16296155"/>
              <a:ext cx="847725" cy="3199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US" sz="1100" b="0" i="1" baseline="0">
                            <a:solidFill>
                              <a:schemeClr val="tx1"/>
                            </a:solidFill>
                            <a:effectLst/>
                            <a:latin typeface="Cambria Math" panose="02040503050406030204" pitchFamily="18" charset="0"/>
                            <a:ea typeface="+mn-ea"/>
                            <a:cs typeface="+mn-cs"/>
                          </a:rPr>
                        </m:ctrlPr>
                      </m:fPr>
                      <m:num>
                        <m:r>
                          <a:rPr lang="en-US" sz="1100" b="0" i="1" baseline="0">
                            <a:solidFill>
                              <a:schemeClr val="tx1"/>
                            </a:solidFill>
                            <a:effectLst/>
                            <a:latin typeface="Cambria Math" panose="02040503050406030204" pitchFamily="18" charset="0"/>
                            <a:ea typeface="+mn-ea"/>
                            <a:cs typeface="+mn-cs"/>
                          </a:rPr>
                          <m:t>𝑒</m:t>
                        </m:r>
                        <m:r>
                          <a:rPr lang="en-US" sz="1100" b="0" i="1" baseline="-25000">
                            <a:solidFill>
                              <a:schemeClr val="tx1"/>
                            </a:solidFill>
                            <a:effectLst/>
                            <a:latin typeface="Cambria Math" panose="02040503050406030204" pitchFamily="18" charset="0"/>
                            <a:ea typeface="+mn-ea"/>
                            <a:cs typeface="+mn-cs"/>
                          </a:rPr>
                          <m:t>𝑚</m:t>
                        </m:r>
                      </m:num>
                      <m:den>
                        <m:r>
                          <m:rPr>
                            <m:sty m:val="p"/>
                          </m:rPr>
                          <a:rPr lang="en-US" sz="1100" b="0" i="0" baseline="0">
                            <a:solidFill>
                              <a:schemeClr val="tx1"/>
                            </a:solidFill>
                            <a:effectLst/>
                            <a:latin typeface="Cambria Math" panose="02040503050406030204" pitchFamily="18" charset="0"/>
                            <a:ea typeface="+mn-ea"/>
                            <a:cs typeface="+mn-cs"/>
                          </a:rPr>
                          <m:t>max</m:t>
                        </m:r>
                        <m:r>
                          <a:rPr lang="en-US" sz="1100" b="0" i="1" baseline="0">
                            <a:solidFill>
                              <a:schemeClr val="tx1"/>
                            </a:solidFill>
                            <a:effectLst/>
                            <a:latin typeface="Cambria Math" panose="02040503050406030204" pitchFamily="18" charset="0"/>
                            <a:ea typeface="+mn-ea"/>
                            <a:cs typeface="+mn-cs"/>
                          </a:rPr>
                          <m:t>⁡(</m:t>
                        </m:r>
                        <m:r>
                          <a:rPr lang="en-US" sz="1100" b="0" i="1" baseline="0">
                            <a:solidFill>
                              <a:schemeClr val="tx1"/>
                            </a:solidFill>
                            <a:effectLst/>
                            <a:latin typeface="Cambria Math" panose="02040503050406030204" pitchFamily="18" charset="0"/>
                            <a:ea typeface="+mn-ea"/>
                            <a:cs typeface="+mn-cs"/>
                          </a:rPr>
                          <m:t>𝐿𝑚</m:t>
                        </m:r>
                        <m:r>
                          <a:rPr lang="en-US" sz="1100" b="0" i="1" baseline="0">
                            <a:solidFill>
                              <a:schemeClr val="tx1"/>
                            </a:solidFill>
                            <a:effectLst/>
                            <a:latin typeface="Cambria Math" panose="02040503050406030204" pitchFamily="18" charset="0"/>
                            <a:ea typeface="+mn-ea"/>
                            <a:cs typeface="+mn-cs"/>
                          </a:rPr>
                          <m:t>, </m:t>
                        </m:r>
                        <m:r>
                          <a:rPr lang="en-US" sz="1100" b="0" i="1" baseline="0">
                            <a:solidFill>
                              <a:schemeClr val="tx1"/>
                            </a:solidFill>
                            <a:effectLst/>
                            <a:latin typeface="Cambria Math" panose="02040503050406030204" pitchFamily="18" charset="0"/>
                            <a:ea typeface="+mn-ea"/>
                            <a:cs typeface="+mn-cs"/>
                          </a:rPr>
                          <m:t>𝑊𝑚</m:t>
                        </m:r>
                        <m:r>
                          <a:rPr lang="en-US" sz="1100" b="0" i="1" baseline="0">
                            <a:solidFill>
                              <a:schemeClr val="tx1"/>
                            </a:solidFill>
                            <a:effectLst/>
                            <a:latin typeface="Cambria Math" panose="02040503050406030204" pitchFamily="18" charset="0"/>
                            <a:ea typeface="+mn-ea"/>
                            <a:cs typeface="+mn-cs"/>
                          </a:rPr>
                          <m:t>)</m:t>
                        </m:r>
                      </m:den>
                    </m:f>
                    <m:r>
                      <a:rPr lang="en-US" sz="1100" b="0" i="1" baseline="0">
                        <a:solidFill>
                          <a:schemeClr val="tx1"/>
                        </a:solidFill>
                        <a:effectLst/>
                        <a:latin typeface="Cambria Math" panose="02040503050406030204" pitchFamily="18" charset="0"/>
                        <a:ea typeface="+mn-ea"/>
                        <a:cs typeface="+mn-cs"/>
                      </a:rPr>
                      <m:t> </m:t>
                    </m:r>
                  </m:oMath>
                </m:oMathPara>
              </a14:m>
              <a:endParaRPr lang="en-US" sz="1100" baseline="-25000"/>
            </a:p>
          </xdr:txBody>
        </xdr:sp>
      </mc:Choice>
      <mc:Fallback xmlns="">
        <xdr:sp macro="" textlink="">
          <xdr:nvSpPr>
            <xdr:cNvPr id="101" name="TextBox 100">
              <a:extLst>
                <a:ext uri="{FF2B5EF4-FFF2-40B4-BE49-F238E27FC236}">
                  <a16:creationId xmlns:a16="http://schemas.microsoft.com/office/drawing/2014/main" id="{00000000-0008-0000-0200-000065000000}"/>
                </a:ext>
              </a:extLst>
            </xdr:cNvPr>
            <xdr:cNvSpPr txBox="1"/>
          </xdr:nvSpPr>
          <xdr:spPr>
            <a:xfrm>
              <a:off x="2984127" y="16296155"/>
              <a:ext cx="847725" cy="3199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100" b="0" i="0" baseline="0">
                  <a:solidFill>
                    <a:schemeClr val="tx1"/>
                  </a:solidFill>
                  <a:effectLst/>
                  <a:latin typeface="Cambria Math" panose="02040503050406030204" pitchFamily="18" charset="0"/>
                  <a:ea typeface="+mn-ea"/>
                  <a:cs typeface="+mn-cs"/>
                </a:rPr>
                <a:t>𝑒</a:t>
              </a:r>
              <a:r>
                <a:rPr lang="en-US" sz="1100" b="0" i="0" baseline="-25000">
                  <a:solidFill>
                    <a:schemeClr val="tx1"/>
                  </a:solidFill>
                  <a:effectLst/>
                  <a:latin typeface="Cambria Math" panose="02040503050406030204" pitchFamily="18" charset="0"/>
                  <a:ea typeface="+mn-ea"/>
                  <a:cs typeface="+mn-cs"/>
                </a:rPr>
                <a:t>𝑚</a:t>
              </a:r>
              <a:r>
                <a:rPr lang="en-US" sz="1100" b="0" i="0" baseline="0">
                  <a:solidFill>
                    <a:schemeClr val="tx1"/>
                  </a:solidFill>
                  <a:effectLst/>
                  <a:latin typeface="Cambria Math" panose="02040503050406030204" pitchFamily="18" charset="0"/>
                  <a:ea typeface="+mn-ea"/>
                  <a:cs typeface="+mn-cs"/>
                </a:rPr>
                <a:t>/(max⁡(𝐿</a:t>
              </a:r>
              <a:r>
                <a:rPr lang="en-US" sz="1100" b="0" i="0" baseline="-25000">
                  <a:solidFill>
                    <a:schemeClr val="tx1"/>
                  </a:solidFill>
                  <a:effectLst/>
                  <a:latin typeface="Cambria Math" panose="02040503050406030204" pitchFamily="18" charset="0"/>
                  <a:ea typeface="+mn-ea"/>
                  <a:cs typeface="+mn-cs"/>
                </a:rPr>
                <a:t>𝑚</a:t>
              </a:r>
              <a:r>
                <a:rPr lang="en-US" sz="1100" b="0" i="0" baseline="0">
                  <a:solidFill>
                    <a:schemeClr val="tx1"/>
                  </a:solidFill>
                  <a:effectLst/>
                  <a:latin typeface="Cambria Math" panose="02040503050406030204" pitchFamily="18" charset="0"/>
                  <a:ea typeface="+mn-ea"/>
                  <a:cs typeface="+mn-cs"/>
                </a:rPr>
                <a:t>, 𝑊</a:t>
              </a:r>
              <a:r>
                <a:rPr lang="en-US" sz="1100" b="0" i="0" baseline="-25000">
                  <a:solidFill>
                    <a:schemeClr val="tx1"/>
                  </a:solidFill>
                  <a:effectLst/>
                  <a:latin typeface="Cambria Math" panose="02040503050406030204" pitchFamily="18" charset="0"/>
                  <a:ea typeface="+mn-ea"/>
                  <a:cs typeface="+mn-cs"/>
                </a:rPr>
                <a:t>𝑚</a:t>
              </a:r>
              <a:r>
                <a:rPr lang="en-US" sz="1100" b="0" i="0" baseline="0">
                  <a:solidFill>
                    <a:schemeClr val="tx1"/>
                  </a:solidFill>
                  <a:effectLst/>
                  <a:latin typeface="Cambria Math" panose="02040503050406030204" pitchFamily="18" charset="0"/>
                  <a:ea typeface="+mn-ea"/>
                  <a:cs typeface="+mn-cs"/>
                </a:rPr>
                <a:t>))  </a:t>
              </a:r>
              <a:endParaRPr lang="en-US" sz="1100" baseline="-25000"/>
            </a:p>
          </xdr:txBody>
        </xdr:sp>
      </mc:Fallback>
    </mc:AlternateContent>
    <xdr:clientData/>
  </xdr:oneCellAnchor>
  <xdr:oneCellAnchor>
    <xdr:from>
      <xdr:col>1</xdr:col>
      <xdr:colOff>657225</xdr:colOff>
      <xdr:row>87</xdr:row>
      <xdr:rowOff>47625</xdr:rowOff>
    </xdr:from>
    <xdr:ext cx="1277470" cy="398929"/>
    <mc:AlternateContent xmlns:mc="http://schemas.openxmlformats.org/markup-compatibility/2006" xmlns:a14="http://schemas.microsoft.com/office/drawing/2010/main">
      <mc:Choice Requires="a14">
        <xdr:sp macro="" textlink="">
          <xdr:nvSpPr>
            <xdr:cNvPr id="69" name="TextBox 68">
              <a:extLst>
                <a:ext uri="{FF2B5EF4-FFF2-40B4-BE49-F238E27FC236}">
                  <a16:creationId xmlns:a16="http://schemas.microsoft.com/office/drawing/2014/main" id="{00000000-0008-0000-0200-000045000000}"/>
                </a:ext>
              </a:extLst>
            </xdr:cNvPr>
            <xdr:cNvSpPr txBox="1"/>
          </xdr:nvSpPr>
          <xdr:spPr>
            <a:xfrm>
              <a:off x="2695575" y="23926800"/>
              <a:ext cx="1277470" cy="3989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f>
                      <m:fPr>
                        <m:ctrlPr>
                          <a:rPr lang="en-US" sz="1100" b="0" i="1" baseline="0">
                            <a:solidFill>
                              <a:schemeClr val="tx1"/>
                            </a:solidFill>
                            <a:effectLst/>
                            <a:latin typeface="Cambria Math" panose="02040503050406030204" pitchFamily="18" charset="0"/>
                            <a:ea typeface="+mn-ea"/>
                            <a:cs typeface="+mn-cs"/>
                          </a:rPr>
                        </m:ctrlPr>
                      </m:fPr>
                      <m:num>
                        <m:r>
                          <a:rPr lang="en-US" sz="1100" b="0" i="1" baseline="0">
                            <a:solidFill>
                              <a:schemeClr val="tx1"/>
                            </a:solidFill>
                            <a:effectLst/>
                            <a:latin typeface="Cambria Math" panose="02040503050406030204" pitchFamily="18" charset="0"/>
                            <a:ea typeface="+mn-ea"/>
                            <a:cs typeface="+mn-cs"/>
                          </a:rPr>
                          <m:t>𝑛</m:t>
                        </m:r>
                        <m:r>
                          <m:rPr>
                            <m:sty m:val="p"/>
                          </m:rPr>
                          <a:rPr lang="el-GR" sz="1100" b="0" i="1" baseline="0">
                            <a:solidFill>
                              <a:schemeClr val="tx1"/>
                            </a:solidFill>
                            <a:effectLst/>
                            <a:latin typeface="Cambria Math" panose="02040503050406030204" pitchFamily="18" charset="0"/>
                            <a:ea typeface="+mn-ea"/>
                            <a:cs typeface="+mn-cs"/>
                          </a:rPr>
                          <m:t>η</m:t>
                        </m:r>
                        <m:r>
                          <a:rPr lang="en-US" sz="1100" b="0" i="1" baseline="-25000">
                            <a:solidFill>
                              <a:schemeClr val="tx1"/>
                            </a:solidFill>
                            <a:effectLst/>
                            <a:latin typeface="Cambria Math" panose="02040503050406030204" pitchFamily="18" charset="0"/>
                            <a:ea typeface="+mn-ea"/>
                            <a:cs typeface="+mn-cs"/>
                          </a:rPr>
                          <m:t>𝑝</m:t>
                        </m:r>
                        <m:r>
                          <a:rPr lang="en-US" sz="1100" b="0" i="1" baseline="0">
                            <a:solidFill>
                              <a:schemeClr val="tx1"/>
                            </a:solidFill>
                            <a:effectLst/>
                            <a:latin typeface="Cambria Math" panose="02040503050406030204" pitchFamily="18" charset="0"/>
                            <a:ea typeface="+mn-ea"/>
                            <a:cs typeface="+mn-cs"/>
                          </a:rPr>
                          <m:t>𝐾</m:t>
                        </m:r>
                        <m:r>
                          <a:rPr lang="az-Cyrl-AZ" sz="1100" b="0" i="1" baseline="0">
                            <a:solidFill>
                              <a:schemeClr val="tx1"/>
                            </a:solidFill>
                            <a:effectLst/>
                            <a:latin typeface="Cambria Math" panose="02040503050406030204" pitchFamily="18" charset="0"/>
                            <a:ea typeface="+mn-ea"/>
                            <a:cs typeface="+mn-cs"/>
                          </a:rPr>
                          <m:t>п</m:t>
                        </m:r>
                        <m:r>
                          <a:rPr lang="en-US" sz="1100" b="0" i="1" baseline="30000">
                            <a:solidFill>
                              <a:schemeClr val="tx1"/>
                            </a:solidFill>
                            <a:effectLst/>
                            <a:latin typeface="Cambria Math" panose="02040503050406030204" pitchFamily="18" charset="0"/>
                            <a:ea typeface="+mn-ea"/>
                            <a:cs typeface="+mn-cs"/>
                          </a:rPr>
                          <m:t>2</m:t>
                        </m:r>
                        <m:r>
                          <a:rPr lang="en-US" sz="1100" b="0" i="1" baseline="0">
                            <a:solidFill>
                              <a:schemeClr val="tx1"/>
                            </a:solidFill>
                            <a:effectLst/>
                            <a:latin typeface="Cambria Math" panose="02040503050406030204" pitchFamily="18" charset="0"/>
                            <a:ea typeface="+mn-ea"/>
                            <a:cs typeface="+mn-cs"/>
                          </a:rPr>
                          <m:t>𝐸</m:t>
                        </m:r>
                        <m:r>
                          <a:rPr lang="en-US" sz="1100" b="0" i="1" baseline="-25000">
                            <a:solidFill>
                              <a:schemeClr val="tx1"/>
                            </a:solidFill>
                            <a:effectLst/>
                            <a:latin typeface="Cambria Math" panose="02040503050406030204" pitchFamily="18" charset="0"/>
                            <a:ea typeface="+mn-ea"/>
                            <a:cs typeface="+mn-cs"/>
                          </a:rPr>
                          <m:t>𝐶</m:t>
                        </m:r>
                        <m:r>
                          <a:rPr lang="en-US" sz="1100" b="0" i="1" baseline="0">
                            <a:solidFill>
                              <a:schemeClr val="tx1"/>
                            </a:solidFill>
                            <a:effectLst/>
                            <a:latin typeface="Cambria Math" panose="02040503050406030204" pitchFamily="18" charset="0"/>
                            <a:ea typeface="+mn-ea"/>
                            <a:cs typeface="+mn-cs"/>
                          </a:rPr>
                          <m:t>𝑇𝑅𝐹</m:t>
                        </m:r>
                      </m:num>
                      <m:den>
                        <m:r>
                          <a:rPr lang="en-US" sz="1100" b="0" i="1" baseline="0">
                            <a:solidFill>
                              <a:schemeClr val="tx1"/>
                            </a:solidFill>
                            <a:effectLst/>
                            <a:latin typeface="Cambria Math" panose="02040503050406030204" pitchFamily="18" charset="0"/>
                            <a:ea typeface="+mn-ea"/>
                            <a:cs typeface="+mn-cs"/>
                          </a:rPr>
                          <m:t>12</m:t>
                        </m:r>
                        <m:d>
                          <m:dPr>
                            <m:ctrlPr>
                              <a:rPr lang="en-US" sz="1100" b="0" i="1" baseline="0">
                                <a:solidFill>
                                  <a:schemeClr val="tx1"/>
                                </a:solidFill>
                                <a:effectLst/>
                                <a:latin typeface="Cambria Math" panose="02040503050406030204" pitchFamily="18" charset="0"/>
                                <a:ea typeface="+mn-ea"/>
                                <a:cs typeface="+mn-cs"/>
                              </a:rPr>
                            </m:ctrlPr>
                          </m:dPr>
                          <m:e>
                            <m:r>
                              <a:rPr lang="en-US" sz="1100" b="0" i="1" baseline="0">
                                <a:solidFill>
                                  <a:schemeClr val="tx1"/>
                                </a:solidFill>
                                <a:effectLst/>
                                <a:latin typeface="Cambria Math" panose="02040503050406030204" pitchFamily="18" charset="0"/>
                                <a:ea typeface="+mn-ea"/>
                                <a:cs typeface="+mn-cs"/>
                              </a:rPr>
                              <m:t>1−µ</m:t>
                            </m:r>
                            <m:r>
                              <a:rPr lang="en-US" sz="1100" b="0" i="1" baseline="30000">
                                <a:solidFill>
                                  <a:schemeClr val="tx1"/>
                                </a:solidFill>
                                <a:effectLst/>
                                <a:latin typeface="Cambria Math" panose="02040503050406030204" pitchFamily="18" charset="0"/>
                                <a:ea typeface="+mn-ea"/>
                                <a:cs typeface="+mn-cs"/>
                              </a:rPr>
                              <m:t>2</m:t>
                            </m:r>
                          </m:e>
                        </m:d>
                      </m:den>
                    </m:f>
                    <m:d>
                      <m:dPr>
                        <m:ctrlPr>
                          <a:rPr lang="en-US" sz="1100" b="0" i="1" baseline="0">
                            <a:solidFill>
                              <a:schemeClr val="tx1"/>
                            </a:solidFill>
                            <a:effectLst/>
                            <a:latin typeface="Cambria Math" panose="02040503050406030204" pitchFamily="18" charset="0"/>
                            <a:ea typeface="+mn-ea"/>
                            <a:cs typeface="+mn-cs"/>
                          </a:rPr>
                        </m:ctrlPr>
                      </m:dPr>
                      <m:e>
                        <m:f>
                          <m:fPr>
                            <m:ctrlPr>
                              <a:rPr lang="en-US" sz="1100" b="0" i="1" baseline="0">
                                <a:solidFill>
                                  <a:schemeClr val="tx1"/>
                                </a:solidFill>
                                <a:effectLst/>
                                <a:latin typeface="Cambria Math" panose="02040503050406030204" pitchFamily="18" charset="0"/>
                                <a:ea typeface="+mn-ea"/>
                                <a:cs typeface="+mn-cs"/>
                              </a:rPr>
                            </m:ctrlPr>
                          </m:fPr>
                          <m:num>
                            <m:r>
                              <a:rPr lang="en-US" sz="1100" b="0" i="1" baseline="0">
                                <a:solidFill>
                                  <a:schemeClr val="tx1"/>
                                </a:solidFill>
                                <a:effectLst/>
                                <a:latin typeface="Cambria Math" panose="02040503050406030204" pitchFamily="18" charset="0"/>
                                <a:ea typeface="+mn-ea"/>
                                <a:cs typeface="+mn-cs"/>
                              </a:rPr>
                              <m:t>𝑡</m:t>
                            </m:r>
                          </m:num>
                          <m:den>
                            <m:r>
                              <a:rPr lang="en-US" sz="1100" b="0" i="1" baseline="0">
                                <a:solidFill>
                                  <a:schemeClr val="tx1"/>
                                </a:solidFill>
                                <a:effectLst/>
                                <a:latin typeface="Cambria Math" panose="02040503050406030204" pitchFamily="18" charset="0"/>
                                <a:ea typeface="+mn-ea"/>
                                <a:cs typeface="+mn-cs"/>
                              </a:rPr>
                              <m:t>𝑏</m:t>
                            </m:r>
                          </m:den>
                        </m:f>
                      </m:e>
                    </m:d>
                    <m:r>
                      <a:rPr lang="en-US" sz="1100" b="0" i="1" baseline="30000">
                        <a:solidFill>
                          <a:schemeClr val="tx1"/>
                        </a:solidFill>
                        <a:effectLst/>
                        <a:latin typeface="Cambria Math" panose="02040503050406030204" pitchFamily="18" charset="0"/>
                        <a:ea typeface="+mn-ea"/>
                        <a:cs typeface="+mn-cs"/>
                      </a:rPr>
                      <m:t>2</m:t>
                    </m:r>
                  </m:oMath>
                </m:oMathPara>
              </a14:m>
              <a:endParaRPr lang="en-US" sz="1100" b="0" i="0" u="none" strike="noStrike" baseline="30000">
                <a:solidFill>
                  <a:schemeClr val="tx1"/>
                </a:solidFill>
                <a:latin typeface="+mn-lt"/>
                <a:ea typeface="+mn-ea"/>
                <a:cs typeface="+mn-cs"/>
              </a:endParaRPr>
            </a:p>
          </xdr:txBody>
        </xdr:sp>
      </mc:Choice>
      <mc:Fallback xmlns="">
        <xdr:sp macro="" textlink="">
          <xdr:nvSpPr>
            <xdr:cNvPr id="69" name="TextBox 68"/>
            <xdr:cNvSpPr txBox="1"/>
          </xdr:nvSpPr>
          <xdr:spPr>
            <a:xfrm>
              <a:off x="2695575" y="23926800"/>
              <a:ext cx="1277470" cy="3989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n-US" sz="1100" b="0" i="0" baseline="0">
                  <a:solidFill>
                    <a:schemeClr val="tx1"/>
                  </a:solidFill>
                  <a:effectLst/>
                  <a:latin typeface="Cambria Math" panose="02040503050406030204" pitchFamily="18" charset="0"/>
                  <a:ea typeface="+mn-ea"/>
                  <a:cs typeface="+mn-cs"/>
                </a:rPr>
                <a:t>𝑛</a:t>
              </a:r>
              <a:r>
                <a:rPr lang="el-GR" sz="1100" b="0" i="0" baseline="0">
                  <a:solidFill>
                    <a:schemeClr val="tx1"/>
                  </a:solidFill>
                  <a:effectLst/>
                  <a:latin typeface="Cambria Math" panose="02040503050406030204" pitchFamily="18" charset="0"/>
                  <a:ea typeface="+mn-ea"/>
                  <a:cs typeface="+mn-cs"/>
                </a:rPr>
                <a:t>η</a:t>
              </a:r>
              <a:r>
                <a:rPr lang="en-US" sz="1100" b="0" i="0" baseline="-25000">
                  <a:solidFill>
                    <a:schemeClr val="tx1"/>
                  </a:solidFill>
                  <a:effectLst/>
                  <a:latin typeface="Cambria Math" panose="02040503050406030204" pitchFamily="18" charset="0"/>
                  <a:ea typeface="+mn-ea"/>
                  <a:cs typeface="+mn-cs"/>
                </a:rPr>
                <a:t>𝑝</a:t>
              </a:r>
              <a:r>
                <a:rPr lang="en-US" sz="1100" b="0" i="0" baseline="0">
                  <a:solidFill>
                    <a:schemeClr val="tx1"/>
                  </a:solidFill>
                  <a:effectLst/>
                  <a:latin typeface="Cambria Math" panose="02040503050406030204" pitchFamily="18" charset="0"/>
                  <a:ea typeface="+mn-ea"/>
                  <a:cs typeface="+mn-cs"/>
                </a:rPr>
                <a:t>𝐾</a:t>
              </a:r>
              <a:r>
                <a:rPr lang="az-Cyrl-AZ" sz="1100" b="0" i="0" baseline="0">
                  <a:solidFill>
                    <a:schemeClr val="tx1"/>
                  </a:solidFill>
                  <a:effectLst/>
                  <a:latin typeface="Cambria Math" panose="02040503050406030204" pitchFamily="18" charset="0"/>
                  <a:ea typeface="+mn-ea"/>
                  <a:cs typeface="+mn-cs"/>
                </a:rPr>
                <a:t>п</a:t>
              </a:r>
              <a:r>
                <a:rPr lang="en-US" sz="1100" b="0" i="0" baseline="30000">
                  <a:solidFill>
                    <a:schemeClr val="tx1"/>
                  </a:solidFill>
                  <a:effectLst/>
                  <a:latin typeface="Cambria Math" panose="02040503050406030204" pitchFamily="18" charset="0"/>
                  <a:ea typeface="+mn-ea"/>
                  <a:cs typeface="+mn-cs"/>
                </a:rPr>
                <a:t>2</a:t>
              </a:r>
              <a:r>
                <a:rPr lang="en-US" sz="1100" b="0" i="0" baseline="0">
                  <a:solidFill>
                    <a:schemeClr val="tx1"/>
                  </a:solidFill>
                  <a:effectLst/>
                  <a:latin typeface="Cambria Math" panose="02040503050406030204" pitchFamily="18" charset="0"/>
                  <a:ea typeface="+mn-ea"/>
                  <a:cs typeface="+mn-cs"/>
                </a:rPr>
                <a:t>𝐸</a:t>
              </a:r>
              <a:r>
                <a:rPr lang="en-US" sz="1100" b="0" i="0" baseline="-25000">
                  <a:solidFill>
                    <a:schemeClr val="tx1"/>
                  </a:solidFill>
                  <a:effectLst/>
                  <a:latin typeface="Cambria Math" panose="02040503050406030204" pitchFamily="18" charset="0"/>
                  <a:ea typeface="+mn-ea"/>
                  <a:cs typeface="+mn-cs"/>
                </a:rPr>
                <a:t>𝐶</a:t>
              </a:r>
              <a:r>
                <a:rPr lang="en-US" sz="1100" b="0" i="0" baseline="0">
                  <a:solidFill>
                    <a:schemeClr val="tx1"/>
                  </a:solidFill>
                  <a:effectLst/>
                  <a:latin typeface="Cambria Math" panose="02040503050406030204" pitchFamily="18" charset="0"/>
                  <a:ea typeface="+mn-ea"/>
                  <a:cs typeface="+mn-cs"/>
                </a:rPr>
                <a:t>𝑇𝑅𝐹/12(1−µ</a:t>
              </a:r>
              <a:r>
                <a:rPr lang="en-US" sz="1100" b="0" i="0" baseline="30000">
                  <a:solidFill>
                    <a:schemeClr val="tx1"/>
                  </a:solidFill>
                  <a:effectLst/>
                  <a:latin typeface="Cambria Math" panose="02040503050406030204" pitchFamily="18" charset="0"/>
                  <a:ea typeface="+mn-ea"/>
                  <a:cs typeface="+mn-cs"/>
                </a:rPr>
                <a:t>2) </a:t>
              </a:r>
              <a:r>
                <a:rPr lang="en-US" sz="1100" b="0" i="0" baseline="0">
                  <a:solidFill>
                    <a:schemeClr val="tx1"/>
                  </a:solidFill>
                  <a:effectLst/>
                  <a:latin typeface="Cambria Math" panose="02040503050406030204" pitchFamily="18" charset="0"/>
                  <a:ea typeface="+mn-ea"/>
                  <a:cs typeface="+mn-cs"/>
                </a:rPr>
                <a:t> (𝑡/𝑏)</a:t>
              </a:r>
              <a:r>
                <a:rPr lang="en-US" sz="1100" b="0" i="0" baseline="30000">
                  <a:solidFill>
                    <a:schemeClr val="tx1"/>
                  </a:solidFill>
                  <a:effectLst/>
                  <a:latin typeface="Cambria Math" panose="02040503050406030204" pitchFamily="18" charset="0"/>
                  <a:ea typeface="+mn-ea"/>
                  <a:cs typeface="+mn-cs"/>
                </a:rPr>
                <a:t>2</a:t>
              </a:r>
              <a:endParaRPr lang="en-US" sz="1100" b="0" i="0" u="none" strike="noStrike" baseline="30000" smtClean="0">
                <a:solidFill>
                  <a:schemeClr val="tx1"/>
                </a:solidFill>
                <a:latin typeface="+mn-lt"/>
                <a:ea typeface="+mn-ea"/>
                <a:cs typeface="+mn-cs"/>
              </a:endParaRPr>
            </a:p>
          </xdr:txBody>
        </xdr:sp>
      </mc:Fallback>
    </mc:AlternateContent>
    <xdr:clientData/>
  </xdr:oneCellAnchor>
  <xdr:oneCellAnchor>
    <xdr:from>
      <xdr:col>1</xdr:col>
      <xdr:colOff>323850</xdr:colOff>
      <xdr:row>132</xdr:row>
      <xdr:rowOff>47625</xdr:rowOff>
    </xdr:from>
    <xdr:ext cx="2291603" cy="425824"/>
    <mc:AlternateContent xmlns:mc="http://schemas.openxmlformats.org/markup-compatibility/2006" xmlns:a14="http://schemas.microsoft.com/office/drawing/2010/main">
      <mc:Choice Requires="a14">
        <xdr:sp macro="" textlink="">
          <xdr:nvSpPr>
            <xdr:cNvPr id="71" name="TextBox 70">
              <a:extLst>
                <a:ext uri="{FF2B5EF4-FFF2-40B4-BE49-F238E27FC236}">
                  <a16:creationId xmlns:a16="http://schemas.microsoft.com/office/drawing/2014/main" id="{00000000-0008-0000-0200-000047000000}"/>
                </a:ext>
              </a:extLst>
            </xdr:cNvPr>
            <xdr:cNvSpPr txBox="1"/>
          </xdr:nvSpPr>
          <xdr:spPr>
            <a:xfrm>
              <a:off x="2362200" y="35709225"/>
              <a:ext cx="2291603" cy="4258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r>
                    <a:rPr lang="en-US" sz="1100" i="1">
                      <a:solidFill>
                        <a:schemeClr val="tx1"/>
                      </a:solidFill>
                      <a:effectLst/>
                      <a:latin typeface="Cambria Math" panose="02040503050406030204" pitchFamily="18" charset="0"/>
                      <a:ea typeface="+mn-ea"/>
                      <a:cs typeface="+mn-cs"/>
                    </a:rPr>
                    <m:t>𝜎</m:t>
                  </m:r>
                  <m:r>
                    <a:rPr lang="en-US" sz="1100" b="0" i="1" baseline="-25000">
                      <a:solidFill>
                        <a:schemeClr val="tx1"/>
                      </a:solidFill>
                      <a:effectLst/>
                      <a:latin typeface="Cambria Math" panose="02040503050406030204" pitchFamily="18" charset="0"/>
                      <a:ea typeface="+mn-ea"/>
                      <a:cs typeface="+mn-cs"/>
                    </a:rPr>
                    <m:t>𝑚𝑖𝑛</m:t>
                  </m:r>
                  <m:r>
                    <a:rPr lang="en-US" sz="1100" b="0" i="1" baseline="-25000">
                      <a:solidFill>
                        <a:schemeClr val="tx1"/>
                      </a:solidFill>
                      <a:effectLst/>
                      <a:latin typeface="Cambria Math" panose="02040503050406030204" pitchFamily="18" charset="0"/>
                      <a:ea typeface="+mn-ea"/>
                      <a:cs typeface="+mn-cs"/>
                    </a:rPr>
                    <m:t>.</m:t>
                  </m:r>
                  <m:r>
                    <a:rPr lang="en-US" sz="1100" b="0" i="1" baseline="-25000">
                      <a:solidFill>
                        <a:schemeClr val="tx1"/>
                      </a:solidFill>
                      <a:effectLst/>
                      <a:latin typeface="Cambria Math" panose="02040503050406030204" pitchFamily="18" charset="0"/>
                      <a:ea typeface="+mn-ea"/>
                      <a:cs typeface="+mn-cs"/>
                    </a:rPr>
                    <m:t>𝑝𝑟</m:t>
                  </m:r>
                </m:oMath>
              </a14:m>
              <a:r>
                <a:rPr lang="en-US" sz="1100" b="0" i="0" u="none" strike="noStrike" baseline="0">
                  <a:solidFill>
                    <a:schemeClr val="tx1"/>
                  </a:solidFill>
                  <a:latin typeface="+mn-lt"/>
                  <a:ea typeface="+mn-ea"/>
                  <a:cs typeface="+mn-cs"/>
                </a:rPr>
                <a:t> + 1.8M</a:t>
              </a:r>
              <a:r>
                <a:rPr lang="en-US" sz="1100" b="0" i="0" u="none" strike="noStrike" baseline="-25000">
                  <a:solidFill>
                    <a:schemeClr val="tx1"/>
                  </a:solidFill>
                  <a:latin typeface="+mn-lt"/>
                  <a:ea typeface="+mn-ea"/>
                  <a:cs typeface="+mn-cs"/>
                </a:rPr>
                <a:t>dent</a:t>
              </a:r>
              <a:r>
                <a:rPr lang="en-US" sz="1100" b="0" i="0" u="none" strike="noStrike" baseline="0">
                  <a:solidFill>
                    <a:schemeClr val="tx1"/>
                  </a:solidFill>
                  <a:latin typeface="+mn-lt"/>
                  <a:ea typeface="+mn-ea"/>
                  <a:cs typeface="+mn-cs"/>
                </a:rPr>
                <a:t>/t</a:t>
              </a:r>
              <a:r>
                <a:rPr lang="en-US" sz="1100" b="0" i="0" u="none" strike="noStrike" baseline="30000">
                  <a:solidFill>
                    <a:schemeClr val="tx1"/>
                  </a:solidFill>
                  <a:latin typeface="+mn-lt"/>
                  <a:ea typeface="+mn-ea"/>
                  <a:cs typeface="+mn-cs"/>
                </a:rPr>
                <a:t>2</a:t>
              </a:r>
              <a:r>
                <a:rPr lang="en-US" sz="1100" b="0" i="0" u="none" strike="noStrike" baseline="0">
                  <a:solidFill>
                    <a:schemeClr val="tx1"/>
                  </a:solidFill>
                  <a:latin typeface="+mn-lt"/>
                  <a:ea typeface="+mn-ea"/>
                  <a:cs typeface="+mn-cs"/>
                </a:rPr>
                <a:t> , if d&gt;t AND e</a:t>
              </a:r>
              <a:r>
                <a:rPr lang="en-US" sz="1100" b="0" i="0" u="none" strike="noStrike" baseline="-25000">
                  <a:solidFill>
                    <a:schemeClr val="tx1"/>
                  </a:solidFill>
                  <a:latin typeface="+mn-lt"/>
                  <a:ea typeface="+mn-ea"/>
                  <a:cs typeface="+mn-cs"/>
                </a:rPr>
                <a:t>m</a:t>
              </a:r>
              <a:r>
                <a:rPr lang="en-US" sz="1100" b="0" i="0" u="none" strike="noStrike" baseline="0">
                  <a:solidFill>
                    <a:schemeClr val="tx1"/>
                  </a:solidFill>
                  <a:latin typeface="+mn-lt"/>
                  <a:ea typeface="+mn-ea"/>
                  <a:cs typeface="+mn-cs"/>
                </a:rPr>
                <a:t>/D&lt;2</a:t>
              </a:r>
              <a:r>
                <a:rPr lang="en-US" sz="1100" b="0" i="0" baseline="0">
                  <a:solidFill>
                    <a:schemeClr val="tx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r>
                    <a:rPr lang="en-US" sz="1100" i="1">
                      <a:solidFill>
                        <a:schemeClr val="tx1"/>
                      </a:solidFill>
                      <a:effectLst/>
                      <a:latin typeface="Cambria Math" panose="02040503050406030204" pitchFamily="18" charset="0"/>
                      <a:ea typeface="+mn-ea"/>
                      <a:cs typeface="+mn-cs"/>
                    </a:rPr>
                    <m:t>𝜎</m:t>
                  </m:r>
                  <m:r>
                    <a:rPr lang="en-US" sz="1100" b="0" i="1" baseline="-25000">
                      <a:solidFill>
                        <a:schemeClr val="tx1"/>
                      </a:solidFill>
                      <a:effectLst/>
                      <a:latin typeface="Cambria Math" panose="02040503050406030204" pitchFamily="18" charset="0"/>
                      <a:ea typeface="+mn-ea"/>
                      <a:cs typeface="+mn-cs"/>
                    </a:rPr>
                    <m:t>𝑚𝑖𝑛</m:t>
                  </m:r>
                  <m:r>
                    <a:rPr lang="en-US" sz="1100" b="0" i="1" baseline="-25000">
                      <a:solidFill>
                        <a:schemeClr val="tx1"/>
                      </a:solidFill>
                      <a:effectLst/>
                      <a:latin typeface="Cambria Math" panose="02040503050406030204" pitchFamily="18" charset="0"/>
                      <a:ea typeface="+mn-ea"/>
                      <a:cs typeface="+mn-cs"/>
                    </a:rPr>
                    <m:t>.</m:t>
                  </m:r>
                  <m:r>
                    <a:rPr lang="en-US" sz="1100" b="0" i="1" baseline="-25000">
                      <a:solidFill>
                        <a:schemeClr val="tx1"/>
                      </a:solidFill>
                      <a:effectLst/>
                      <a:latin typeface="Cambria Math" panose="02040503050406030204" pitchFamily="18" charset="0"/>
                      <a:ea typeface="+mn-ea"/>
                      <a:cs typeface="+mn-cs"/>
                    </a:rPr>
                    <m:t>𝑝𝑟</m:t>
                  </m:r>
                </m:oMath>
              </a14:m>
              <a:r>
                <a:rPr lang="en-US" sz="1100" b="0" i="0" baseline="0">
                  <a:solidFill>
                    <a:schemeClr val="tx1"/>
                  </a:solidFill>
                  <a:effectLst/>
                  <a:latin typeface="+mn-lt"/>
                  <a:ea typeface="+mn-ea"/>
                  <a:cs typeface="+mn-cs"/>
                </a:rPr>
                <a:t> 	        , Otherwise</a:t>
              </a:r>
              <a:endParaRPr lang="en-US">
                <a:effectLst/>
              </a:endParaRPr>
            </a:p>
          </xdr:txBody>
        </xdr:sp>
      </mc:Choice>
      <mc:Fallback xmlns="">
        <xdr:sp macro="" textlink="">
          <xdr:nvSpPr>
            <xdr:cNvPr id="71" name="TextBox 70">
              <a:extLst>
                <a:ext uri="{FF2B5EF4-FFF2-40B4-BE49-F238E27FC236}">
                  <a16:creationId xmlns:a16="http://schemas.microsoft.com/office/drawing/2014/main" id="{00000000-0008-0000-0200-000047000000}"/>
                </a:ext>
              </a:extLst>
            </xdr:cNvPr>
            <xdr:cNvSpPr txBox="1"/>
          </xdr:nvSpPr>
          <xdr:spPr>
            <a:xfrm>
              <a:off x="2362200" y="35709225"/>
              <a:ext cx="2291603" cy="4258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1100" i="0">
                  <a:solidFill>
                    <a:schemeClr val="tx1"/>
                  </a:solidFill>
                  <a:effectLst/>
                  <a:latin typeface="Cambria Math" panose="02040503050406030204" pitchFamily="18" charset="0"/>
                  <a:ea typeface="+mn-ea"/>
                  <a:cs typeface="+mn-cs"/>
                </a:rPr>
                <a:t>𝜎</a:t>
              </a:r>
              <a:r>
                <a:rPr lang="en-US" sz="1100" b="0" i="0" baseline="-25000">
                  <a:solidFill>
                    <a:schemeClr val="tx1"/>
                  </a:solidFill>
                  <a:effectLst/>
                  <a:latin typeface="Cambria Math" panose="02040503050406030204" pitchFamily="18" charset="0"/>
                  <a:ea typeface="+mn-ea"/>
                  <a:cs typeface="+mn-cs"/>
                </a:rPr>
                <a:t>𝑚𝑖𝑛.𝑝𝑟</a:t>
              </a:r>
              <a:r>
                <a:rPr lang="en-US" sz="1100" b="0" i="0" u="none" strike="noStrike" baseline="0">
                  <a:solidFill>
                    <a:schemeClr val="tx1"/>
                  </a:solidFill>
                  <a:latin typeface="+mn-lt"/>
                  <a:ea typeface="+mn-ea"/>
                  <a:cs typeface="+mn-cs"/>
                </a:rPr>
                <a:t> + 1.8M</a:t>
              </a:r>
              <a:r>
                <a:rPr lang="en-US" sz="1100" b="0" i="0" u="none" strike="noStrike" baseline="-25000">
                  <a:solidFill>
                    <a:schemeClr val="tx1"/>
                  </a:solidFill>
                  <a:latin typeface="+mn-lt"/>
                  <a:ea typeface="+mn-ea"/>
                  <a:cs typeface="+mn-cs"/>
                </a:rPr>
                <a:t>dent</a:t>
              </a:r>
              <a:r>
                <a:rPr lang="en-US" sz="1100" b="0" i="0" u="none" strike="noStrike" baseline="0">
                  <a:solidFill>
                    <a:schemeClr val="tx1"/>
                  </a:solidFill>
                  <a:latin typeface="+mn-lt"/>
                  <a:ea typeface="+mn-ea"/>
                  <a:cs typeface="+mn-cs"/>
                </a:rPr>
                <a:t>/t</a:t>
              </a:r>
              <a:r>
                <a:rPr lang="en-US" sz="1100" b="0" i="0" u="none" strike="noStrike" baseline="30000">
                  <a:solidFill>
                    <a:schemeClr val="tx1"/>
                  </a:solidFill>
                  <a:latin typeface="+mn-lt"/>
                  <a:ea typeface="+mn-ea"/>
                  <a:cs typeface="+mn-cs"/>
                </a:rPr>
                <a:t>2</a:t>
              </a:r>
              <a:r>
                <a:rPr lang="en-US" sz="1100" b="0" i="0" u="none" strike="noStrike" baseline="0">
                  <a:solidFill>
                    <a:schemeClr val="tx1"/>
                  </a:solidFill>
                  <a:latin typeface="+mn-lt"/>
                  <a:ea typeface="+mn-ea"/>
                  <a:cs typeface="+mn-cs"/>
                </a:rPr>
                <a:t> , if d&gt;t AND e</a:t>
              </a:r>
              <a:r>
                <a:rPr lang="en-US" sz="1100" b="0" i="0" u="none" strike="noStrike" baseline="-25000">
                  <a:solidFill>
                    <a:schemeClr val="tx1"/>
                  </a:solidFill>
                  <a:latin typeface="+mn-lt"/>
                  <a:ea typeface="+mn-ea"/>
                  <a:cs typeface="+mn-cs"/>
                </a:rPr>
                <a:t>m</a:t>
              </a:r>
              <a:r>
                <a:rPr lang="en-US" sz="1100" b="0" i="0" u="none" strike="noStrike" baseline="0">
                  <a:solidFill>
                    <a:schemeClr val="tx1"/>
                  </a:solidFill>
                  <a:latin typeface="+mn-lt"/>
                  <a:ea typeface="+mn-ea"/>
                  <a:cs typeface="+mn-cs"/>
                </a:rPr>
                <a:t>/D&lt;2</a:t>
              </a:r>
              <a:r>
                <a:rPr lang="en-US" sz="1100" b="0" i="0" baseline="0">
                  <a:solidFill>
                    <a:schemeClr val="tx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r>
                <a:rPr lang="en-US" sz="1100" i="0">
                  <a:solidFill>
                    <a:schemeClr val="tx1"/>
                  </a:solidFill>
                  <a:effectLst/>
                  <a:latin typeface="Cambria Math" panose="02040503050406030204" pitchFamily="18" charset="0"/>
                  <a:ea typeface="+mn-ea"/>
                  <a:cs typeface="+mn-cs"/>
                </a:rPr>
                <a:t>𝜎</a:t>
              </a:r>
              <a:r>
                <a:rPr lang="en-US" sz="1100" b="0" i="0" baseline="-25000">
                  <a:solidFill>
                    <a:schemeClr val="tx1"/>
                  </a:solidFill>
                  <a:effectLst/>
                  <a:latin typeface="Cambria Math" panose="02040503050406030204" pitchFamily="18" charset="0"/>
                  <a:ea typeface="+mn-ea"/>
                  <a:cs typeface="+mn-cs"/>
                </a:rPr>
                <a:t>𝑚𝑖𝑛.𝑝𝑟</a:t>
              </a:r>
              <a:r>
                <a:rPr lang="en-US" sz="1100" b="0" i="0" baseline="0">
                  <a:solidFill>
                    <a:schemeClr val="tx1"/>
                  </a:solidFill>
                  <a:effectLst/>
                  <a:latin typeface="+mn-lt"/>
                  <a:ea typeface="+mn-ea"/>
                  <a:cs typeface="+mn-cs"/>
                </a:rPr>
                <a:t> 	        , Otherwise</a:t>
              </a:r>
              <a:endParaRPr lang="en-US">
                <a:effectLst/>
              </a:endParaRPr>
            </a:p>
          </xdr:txBody>
        </xdr:sp>
      </mc:Fallback>
    </mc:AlternateContent>
    <xdr:clientData/>
  </xdr:oneCellAnchor>
  <xdr:oneCellAnchor>
    <xdr:from>
      <xdr:col>1</xdr:col>
      <xdr:colOff>990601</xdr:colOff>
      <xdr:row>47</xdr:row>
      <xdr:rowOff>171450</xdr:rowOff>
    </xdr:from>
    <xdr:ext cx="685800" cy="371475"/>
    <mc:AlternateContent xmlns:mc="http://schemas.openxmlformats.org/markup-compatibility/2006" xmlns:a14="http://schemas.microsoft.com/office/drawing/2010/main">
      <mc:Choice Requires="a14">
        <xdr:sp macro="" textlink="">
          <xdr:nvSpPr>
            <xdr:cNvPr id="36" name="TextBox 35">
              <a:extLst>
                <a:ext uri="{FF2B5EF4-FFF2-40B4-BE49-F238E27FC236}">
                  <a16:creationId xmlns:a16="http://schemas.microsoft.com/office/drawing/2014/main" id="{00000000-0008-0000-0200-000024000000}"/>
                </a:ext>
              </a:extLst>
            </xdr:cNvPr>
            <xdr:cNvSpPr txBox="1"/>
          </xdr:nvSpPr>
          <xdr:spPr>
            <a:xfrm>
              <a:off x="2867026" y="12353925"/>
              <a:ext cx="685800"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f>
                      <m:fPr>
                        <m:ctrlPr>
                          <a:rPr lang="en-US" sz="1100" b="0" i="1" baseline="0">
                            <a:solidFill>
                              <a:schemeClr val="tx1"/>
                            </a:solidFill>
                            <a:effectLst/>
                            <a:latin typeface="Cambria Math" panose="02040503050406030204" pitchFamily="18" charset="0"/>
                            <a:ea typeface="+mn-ea"/>
                            <a:cs typeface="+mn-cs"/>
                          </a:rPr>
                        </m:ctrlPr>
                      </m:fPr>
                      <m:num>
                        <m:r>
                          <m:rPr>
                            <m:nor/>
                          </m:rPr>
                          <a:rPr lang="en-US" sz="1100" b="0" i="0" baseline="0">
                            <a:solidFill>
                              <a:schemeClr val="tx1"/>
                            </a:solidFill>
                            <a:effectLst/>
                            <a:latin typeface="+mn-lt"/>
                            <a:ea typeface="+mn-ea"/>
                            <a:cs typeface="+mn-cs"/>
                          </a:rPr>
                          <m:t>𝑁</m:t>
                        </m:r>
                        <m:r>
                          <m:rPr>
                            <m:nor/>
                          </m:rPr>
                          <a:rPr lang="en-US" sz="1100" b="0" i="0" baseline="-25000">
                            <a:solidFill>
                              <a:schemeClr val="tx1"/>
                            </a:solidFill>
                            <a:effectLst/>
                            <a:latin typeface="+mn-lt"/>
                            <a:ea typeface="+mn-ea"/>
                            <a:cs typeface="+mn-cs"/>
                          </a:rPr>
                          <m:t>𝑒𝑓𝑓</m:t>
                        </m:r>
                        <m:r>
                          <m:rPr>
                            <m:nor/>
                          </m:rPr>
                          <a:rPr lang="en-US" sz="1100" b="0" i="0" baseline="-25000">
                            <a:solidFill>
                              <a:schemeClr val="tx1"/>
                            </a:solidFill>
                            <a:effectLst/>
                            <a:latin typeface="+mn-lt"/>
                            <a:ea typeface="+mn-ea"/>
                            <a:cs typeface="+mn-cs"/>
                          </a:rPr>
                          <m:t> </m:t>
                        </m:r>
                        <m:r>
                          <m:rPr>
                            <m:nor/>
                          </m:rPr>
                          <a:rPr lang="en-US" sz="1100" b="0" i="0" baseline="0">
                            <a:solidFill>
                              <a:schemeClr val="tx1"/>
                            </a:solidFill>
                            <a:effectLst/>
                            <a:latin typeface="+mn-lt"/>
                            <a:ea typeface="+mn-ea"/>
                            <a:cs typeface="+mn-cs"/>
                          </a:rPr>
                          <m:t>x</m:t>
                        </m:r>
                        <m:r>
                          <m:rPr>
                            <m:nor/>
                          </m:rPr>
                          <a:rPr lang="en-US" sz="1100" b="0" i="0" baseline="0">
                            <a:solidFill>
                              <a:schemeClr val="tx1"/>
                            </a:solidFill>
                            <a:effectLst/>
                            <a:latin typeface="+mn-lt"/>
                            <a:ea typeface="+mn-ea"/>
                            <a:cs typeface="+mn-cs"/>
                          </a:rPr>
                          <m:t> </m:t>
                        </m:r>
                        <m:r>
                          <m:rPr>
                            <m:nor/>
                          </m:rPr>
                          <a:rPr lang="en-US" sz="1100" b="0" i="0" baseline="0">
                            <a:solidFill>
                              <a:schemeClr val="tx1"/>
                            </a:solidFill>
                            <a:effectLst/>
                            <a:latin typeface="+mn-lt"/>
                            <a:ea typeface="+mn-ea"/>
                            <a:cs typeface="+mn-cs"/>
                          </a:rPr>
                          <m:t>d</m:t>
                        </m:r>
                      </m:num>
                      <m:den>
                        <m:r>
                          <a:rPr lang="en-US" sz="1100" b="0" i="1" baseline="0">
                            <a:solidFill>
                              <a:schemeClr val="tx1"/>
                            </a:solidFill>
                            <a:effectLst/>
                            <a:latin typeface="Cambria Math" panose="02040503050406030204" pitchFamily="18" charset="0"/>
                            <a:ea typeface="+mn-ea"/>
                            <a:cs typeface="+mn-cs"/>
                          </a:rPr>
                          <m:t>2</m:t>
                        </m:r>
                      </m:den>
                    </m:f>
                  </m:oMath>
                </m:oMathPara>
              </a14:m>
              <a:endParaRPr lang="en-US" sz="1100" b="0" i="0" u="none" strike="noStrike" baseline="0">
                <a:solidFill>
                  <a:schemeClr val="tx1"/>
                </a:solidFill>
                <a:latin typeface="+mn-lt"/>
                <a:ea typeface="+mn-ea"/>
                <a:cs typeface="+mn-cs"/>
              </a:endParaRPr>
            </a:p>
          </xdr:txBody>
        </xdr:sp>
      </mc:Choice>
      <mc:Fallback xmlns="">
        <xdr:sp macro="" textlink="">
          <xdr:nvSpPr>
            <xdr:cNvPr id="36" name="TextBox 35">
              <a:extLst>
                <a:ext uri="{FF2B5EF4-FFF2-40B4-BE49-F238E27FC236}">
                  <a16:creationId xmlns:a16="http://schemas.microsoft.com/office/drawing/2014/main" id="{00000000-0008-0000-0200-000024000000}"/>
                </a:ext>
              </a:extLst>
            </xdr:cNvPr>
            <xdr:cNvSpPr txBox="1"/>
          </xdr:nvSpPr>
          <xdr:spPr>
            <a:xfrm>
              <a:off x="2867026" y="12353925"/>
              <a:ext cx="685800"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n-US" sz="1100" b="0" i="0" baseline="0">
                  <a:solidFill>
                    <a:schemeClr val="tx1"/>
                  </a:solidFill>
                  <a:effectLst/>
                  <a:latin typeface="+mn-lt"/>
                  <a:ea typeface="+mn-ea"/>
                  <a:cs typeface="+mn-cs"/>
                </a:rPr>
                <a:t>"𝑁</a:t>
              </a:r>
              <a:r>
                <a:rPr lang="en-US" sz="1100" b="0" i="0" baseline="-25000">
                  <a:solidFill>
                    <a:schemeClr val="tx1"/>
                  </a:solidFill>
                  <a:effectLst/>
                  <a:latin typeface="+mn-lt"/>
                  <a:ea typeface="+mn-ea"/>
                  <a:cs typeface="+mn-cs"/>
                </a:rPr>
                <a:t>𝑒𝑓𝑓 </a:t>
              </a:r>
              <a:r>
                <a:rPr lang="en-US" sz="1100" b="0" i="0" baseline="0">
                  <a:solidFill>
                    <a:schemeClr val="tx1"/>
                  </a:solidFill>
                  <a:effectLst/>
                  <a:latin typeface="+mn-lt"/>
                  <a:ea typeface="+mn-ea"/>
                  <a:cs typeface="+mn-cs"/>
                </a:rPr>
                <a:t>x d</a:t>
              </a:r>
              <a:r>
                <a:rPr lang="en-US" sz="1100" b="0" i="0" baseline="0">
                  <a:solidFill>
                    <a:schemeClr val="tx1"/>
                  </a:solidFill>
                  <a:effectLst/>
                  <a:latin typeface="Cambria Math" panose="02040503050406030204" pitchFamily="18" charset="0"/>
                  <a:ea typeface="+mn-ea"/>
                  <a:cs typeface="+mn-cs"/>
                </a:rPr>
                <a:t>" /2</a:t>
              </a:r>
              <a:endParaRPr lang="en-US" sz="1100" b="0" i="0" u="none" strike="noStrike" baseline="0">
                <a:solidFill>
                  <a:schemeClr val="tx1"/>
                </a:solidFill>
                <a:latin typeface="+mn-lt"/>
                <a:ea typeface="+mn-ea"/>
                <a:cs typeface="+mn-cs"/>
              </a:endParaRPr>
            </a:p>
          </xdr:txBody>
        </xdr:sp>
      </mc:Fallback>
    </mc:AlternateContent>
    <xdr:clientData/>
  </xdr:oneCellAnchor>
  <xdr:oneCellAnchor>
    <xdr:from>
      <xdr:col>1</xdr:col>
      <xdr:colOff>1123950</xdr:colOff>
      <xdr:row>123</xdr:row>
      <xdr:rowOff>133350</xdr:rowOff>
    </xdr:from>
    <xdr:ext cx="600075" cy="361950"/>
    <mc:AlternateContent xmlns:mc="http://schemas.openxmlformats.org/markup-compatibility/2006" xmlns:a14="http://schemas.microsoft.com/office/drawing/2010/main">
      <mc:Choice Requires="a14">
        <xdr:sp macro="" textlink="">
          <xdr:nvSpPr>
            <xdr:cNvPr id="38" name="TextBox 37">
              <a:extLst>
                <a:ext uri="{FF2B5EF4-FFF2-40B4-BE49-F238E27FC236}">
                  <a16:creationId xmlns:a16="http://schemas.microsoft.com/office/drawing/2014/main" id="{00000000-0008-0000-0200-000026000000}"/>
                </a:ext>
              </a:extLst>
            </xdr:cNvPr>
            <xdr:cNvSpPr txBox="1"/>
          </xdr:nvSpPr>
          <xdr:spPr>
            <a:xfrm>
              <a:off x="3000375" y="34032825"/>
              <a:ext cx="600075" cy="361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m:rPr>
                        <m:nor/>
                      </m:rPr>
                      <a:rPr lang="en-US" sz="1100" b="0" i="0" baseline="0">
                        <a:solidFill>
                          <a:schemeClr val="tx1"/>
                        </a:solidFill>
                        <a:effectLst/>
                        <a:latin typeface="+mn-lt"/>
                        <a:ea typeface="+mn-ea"/>
                        <a:cs typeface="+mn-cs"/>
                      </a:rPr>
                      <m:t> </m:t>
                    </m:r>
                    <m:f>
                      <m:fPr>
                        <m:ctrlPr>
                          <a:rPr lang="en-US" sz="1100" b="0" i="1" baseline="0">
                            <a:solidFill>
                              <a:schemeClr val="tx1"/>
                            </a:solidFill>
                            <a:effectLst/>
                            <a:latin typeface="Cambria Math" panose="02040503050406030204" pitchFamily="18" charset="0"/>
                            <a:ea typeface="+mn-ea"/>
                            <a:cs typeface="+mn-cs"/>
                          </a:rPr>
                        </m:ctrlPr>
                      </m:fPr>
                      <m:num>
                        <m:r>
                          <m:rPr>
                            <m:nor/>
                          </m:rPr>
                          <a:rPr lang="en-US" sz="1100" b="0" i="0" baseline="0">
                            <a:solidFill>
                              <a:schemeClr val="tx1"/>
                            </a:solidFill>
                            <a:effectLst/>
                            <a:latin typeface="+mn-lt"/>
                            <a:ea typeface="+mn-ea"/>
                            <a:cs typeface="+mn-cs"/>
                          </a:rPr>
                          <m:t>𝑁</m:t>
                        </m:r>
                        <m:r>
                          <m:rPr>
                            <m:nor/>
                          </m:rPr>
                          <a:rPr lang="en-US" sz="1100" b="0" i="0" baseline="-25000">
                            <a:solidFill>
                              <a:schemeClr val="tx1"/>
                            </a:solidFill>
                            <a:effectLst/>
                            <a:latin typeface="+mn-lt"/>
                            <a:ea typeface="+mn-ea"/>
                            <a:cs typeface="+mn-cs"/>
                          </a:rPr>
                          <m:t>𝑒𝑓𝑓</m:t>
                        </m:r>
                        <m:r>
                          <m:rPr>
                            <m:nor/>
                          </m:rPr>
                          <a:rPr lang="en-US" sz="1100" b="0" i="0" baseline="-25000">
                            <a:solidFill>
                              <a:schemeClr val="tx1"/>
                            </a:solidFill>
                            <a:effectLst/>
                            <a:latin typeface="+mn-lt"/>
                            <a:ea typeface="+mn-ea"/>
                            <a:cs typeface="+mn-cs"/>
                          </a:rPr>
                          <m:t> </m:t>
                        </m:r>
                        <m:r>
                          <m:rPr>
                            <m:nor/>
                          </m:rPr>
                          <a:rPr lang="en-US" sz="1100" b="0" i="0" baseline="0">
                            <a:solidFill>
                              <a:schemeClr val="tx1"/>
                            </a:solidFill>
                            <a:effectLst/>
                            <a:latin typeface="+mn-lt"/>
                            <a:ea typeface="+mn-ea"/>
                            <a:cs typeface="+mn-cs"/>
                          </a:rPr>
                          <m:t>x</m:t>
                        </m:r>
                        <m:r>
                          <m:rPr>
                            <m:nor/>
                          </m:rPr>
                          <a:rPr lang="en-US" sz="1100" b="0" i="0" baseline="0">
                            <a:solidFill>
                              <a:schemeClr val="tx1"/>
                            </a:solidFill>
                            <a:effectLst/>
                            <a:latin typeface="+mn-lt"/>
                            <a:ea typeface="+mn-ea"/>
                            <a:cs typeface="+mn-cs"/>
                          </a:rPr>
                          <m:t> </m:t>
                        </m:r>
                        <m:r>
                          <m:rPr>
                            <m:nor/>
                          </m:rPr>
                          <a:rPr lang="en-US" sz="1100" b="0" i="0" baseline="0">
                            <a:solidFill>
                              <a:schemeClr val="tx1"/>
                            </a:solidFill>
                            <a:effectLst/>
                            <a:latin typeface="+mn-lt"/>
                            <a:ea typeface="+mn-ea"/>
                            <a:cs typeface="+mn-cs"/>
                          </a:rPr>
                          <m:t>d</m:t>
                        </m:r>
                      </m:num>
                      <m:den>
                        <m:r>
                          <a:rPr lang="en-US" sz="1100" b="0" i="1" baseline="0">
                            <a:solidFill>
                              <a:schemeClr val="tx1"/>
                            </a:solidFill>
                            <a:effectLst/>
                            <a:latin typeface="Cambria Math" panose="02040503050406030204" pitchFamily="18" charset="0"/>
                            <a:ea typeface="+mn-ea"/>
                            <a:cs typeface="+mn-cs"/>
                          </a:rPr>
                          <m:t>2</m:t>
                        </m:r>
                      </m:den>
                    </m:f>
                  </m:oMath>
                </m:oMathPara>
              </a14:m>
              <a:endParaRPr lang="en-US" sz="1100" b="0" i="0" u="none" strike="noStrike" baseline="0">
                <a:solidFill>
                  <a:schemeClr val="tx1"/>
                </a:solidFill>
                <a:latin typeface="+mn-lt"/>
                <a:ea typeface="+mn-ea"/>
                <a:cs typeface="+mn-cs"/>
              </a:endParaRPr>
            </a:p>
          </xdr:txBody>
        </xdr:sp>
      </mc:Choice>
      <mc:Fallback xmlns="">
        <xdr:sp macro="" textlink="">
          <xdr:nvSpPr>
            <xdr:cNvPr id="38" name="TextBox 37">
              <a:extLst>
                <a:ext uri="{FF2B5EF4-FFF2-40B4-BE49-F238E27FC236}">
                  <a16:creationId xmlns:a16="http://schemas.microsoft.com/office/drawing/2014/main" id="{00000000-0008-0000-0200-000026000000}"/>
                </a:ext>
              </a:extLst>
            </xdr:cNvPr>
            <xdr:cNvSpPr txBox="1"/>
          </xdr:nvSpPr>
          <xdr:spPr>
            <a:xfrm>
              <a:off x="3000375" y="34032825"/>
              <a:ext cx="600075" cy="361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n-US" sz="1100" b="0" i="0" baseline="0">
                  <a:solidFill>
                    <a:schemeClr val="tx1"/>
                  </a:solidFill>
                  <a:effectLst/>
                  <a:latin typeface="Cambria Math" panose="02040503050406030204" pitchFamily="18" charset="0"/>
                  <a:ea typeface="+mn-ea"/>
                  <a:cs typeface="+mn-cs"/>
                </a:rPr>
                <a:t>" " </a:t>
              </a:r>
              <a:r>
                <a:rPr lang="en-US" sz="1100" b="0" i="0" baseline="0">
                  <a:solidFill>
                    <a:schemeClr val="tx1"/>
                  </a:solidFill>
                  <a:effectLst/>
                  <a:latin typeface="+mn-lt"/>
                  <a:ea typeface="+mn-ea"/>
                  <a:cs typeface="+mn-cs"/>
                </a:rPr>
                <a:t> "𝑁</a:t>
              </a:r>
              <a:r>
                <a:rPr lang="en-US" sz="1100" b="0" i="0" baseline="-25000">
                  <a:solidFill>
                    <a:schemeClr val="tx1"/>
                  </a:solidFill>
                  <a:effectLst/>
                  <a:latin typeface="+mn-lt"/>
                  <a:ea typeface="+mn-ea"/>
                  <a:cs typeface="+mn-cs"/>
                </a:rPr>
                <a:t>𝑒𝑓𝑓 </a:t>
              </a:r>
              <a:r>
                <a:rPr lang="en-US" sz="1100" b="0" i="0" baseline="0">
                  <a:solidFill>
                    <a:schemeClr val="tx1"/>
                  </a:solidFill>
                  <a:effectLst/>
                  <a:latin typeface="+mn-lt"/>
                  <a:ea typeface="+mn-ea"/>
                  <a:cs typeface="+mn-cs"/>
                </a:rPr>
                <a:t>x d</a:t>
              </a:r>
              <a:r>
                <a:rPr lang="en-US" sz="1100" b="0" i="0" baseline="0">
                  <a:solidFill>
                    <a:schemeClr val="tx1"/>
                  </a:solidFill>
                  <a:effectLst/>
                  <a:latin typeface="Cambria Math" panose="02040503050406030204" pitchFamily="18" charset="0"/>
                  <a:ea typeface="+mn-ea"/>
                  <a:cs typeface="+mn-cs"/>
                </a:rPr>
                <a:t>" /2</a:t>
              </a:r>
              <a:endParaRPr lang="en-US" sz="1100" b="0" i="0" u="none" strike="noStrike" baseline="0">
                <a:solidFill>
                  <a:schemeClr val="tx1"/>
                </a:solidFill>
                <a:latin typeface="+mn-lt"/>
                <a:ea typeface="+mn-ea"/>
                <a:cs typeface="+mn-cs"/>
              </a:endParaRPr>
            </a:p>
          </xdr:txBody>
        </xdr:sp>
      </mc:Fallback>
    </mc:AlternateContent>
    <xdr:clientData/>
  </xdr:oneCellAnchor>
  <xdr:twoCellAnchor editAs="oneCell">
    <xdr:from>
      <xdr:col>5</xdr:col>
      <xdr:colOff>66676</xdr:colOff>
      <xdr:row>45</xdr:row>
      <xdr:rowOff>95252</xdr:rowOff>
    </xdr:from>
    <xdr:to>
      <xdr:col>10</xdr:col>
      <xdr:colOff>553929</xdr:colOff>
      <xdr:row>64</xdr:row>
      <xdr:rowOff>107374</xdr:rowOff>
    </xdr:to>
    <xdr:pic>
      <xdr:nvPicPr>
        <xdr:cNvPr id="40" name="Picture 39">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1" y="11363327"/>
          <a:ext cx="6145103" cy="70320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523875</xdr:colOff>
      <xdr:row>146</xdr:row>
      <xdr:rowOff>76200</xdr:rowOff>
    </xdr:from>
    <xdr:ext cx="1370567" cy="344453"/>
    <mc:AlternateContent xmlns:mc="http://schemas.openxmlformats.org/markup-compatibility/2006" xmlns:a14="http://schemas.microsoft.com/office/drawing/2010/main">
      <mc:Choice Requires="a14">
        <xdr:sp macro="" textlink="">
          <xdr:nvSpPr>
            <xdr:cNvPr id="45" name="TextBox 44">
              <a:extLst>
                <a:ext uri="{FF2B5EF4-FFF2-40B4-BE49-F238E27FC236}">
                  <a16:creationId xmlns:a16="http://schemas.microsoft.com/office/drawing/2014/main" id="{00000000-0008-0000-0200-00002D000000}"/>
                </a:ext>
              </a:extLst>
            </xdr:cNvPr>
            <xdr:cNvSpPr txBox="1"/>
          </xdr:nvSpPr>
          <xdr:spPr>
            <a:xfrm>
              <a:off x="2400300" y="41671875"/>
              <a:ext cx="1370567" cy="3444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en-US" sz="1100" b="0" i="0" u="none" strike="noStrike" baseline="0" smtClean="0">
                        <a:solidFill>
                          <a:schemeClr val="tx1"/>
                        </a:solidFill>
                        <a:latin typeface="+mn-lt"/>
                        <a:ea typeface="+mn-ea"/>
                        <a:cs typeface="+mn-cs"/>
                      </a:rPr>
                      <m:t>F</m:t>
                    </m:r>
                    <m:r>
                      <m:rPr>
                        <m:nor/>
                      </m:rPr>
                      <a:rPr lang="en-US" sz="1100" b="0" i="0" u="none" strike="noStrike" baseline="-25000" smtClean="0">
                        <a:solidFill>
                          <a:schemeClr val="tx1"/>
                        </a:solidFill>
                        <a:latin typeface="+mn-lt"/>
                        <a:ea typeface="+mn-ea"/>
                        <a:cs typeface="+mn-cs"/>
                      </a:rPr>
                      <m:t>tu</m:t>
                    </m:r>
                    <m:r>
                      <m:rPr>
                        <m:nor/>
                      </m:rPr>
                      <a:rPr lang="en-US" sz="1100" b="0" i="0" u="none" strike="noStrike" baseline="-25000" smtClean="0">
                        <a:solidFill>
                          <a:schemeClr val="tx1"/>
                        </a:solidFill>
                        <a:latin typeface="+mn-lt"/>
                        <a:ea typeface="+mn-ea"/>
                        <a:cs typeface="+mn-cs"/>
                      </a:rPr>
                      <m:t> , </m:t>
                    </m:r>
                    <m:r>
                      <m:rPr>
                        <m:nor/>
                      </m:rPr>
                      <a:rPr lang="en-US" sz="1100" b="0" i="0" baseline="0">
                        <a:solidFill>
                          <a:schemeClr val="tx1"/>
                        </a:solidFill>
                        <a:effectLst/>
                        <a:latin typeface="+mn-lt"/>
                        <a:ea typeface="+mn-ea"/>
                        <a:cs typeface="+mn-cs"/>
                      </a:rPr>
                      <m:t>𝑖𝑓</m:t>
                    </m:r>
                    <m:r>
                      <m:rPr>
                        <m:nor/>
                      </m:rPr>
                      <a:rPr lang="en-US" sz="1100" b="0" i="0" baseline="0">
                        <a:solidFill>
                          <a:schemeClr val="tx1"/>
                        </a:solidFill>
                        <a:effectLst/>
                        <a:latin typeface="+mn-lt"/>
                        <a:ea typeface="+mn-ea"/>
                        <a:cs typeface="+mn-cs"/>
                      </a:rPr>
                      <m:t> </m:t>
                    </m:r>
                    <m:r>
                      <m:rPr>
                        <m:nor/>
                      </m:rPr>
                      <a:rPr lang="en-US" sz="1100" b="0" i="0" baseline="0">
                        <a:solidFill>
                          <a:schemeClr val="tx1"/>
                        </a:solidFill>
                        <a:effectLst/>
                        <a:latin typeface="+mn-lt"/>
                        <a:ea typeface="+mn-ea"/>
                        <a:cs typeface="+mn-cs"/>
                      </a:rPr>
                      <m:t>𝜎</m:t>
                    </m:r>
                    <m:r>
                      <m:rPr>
                        <m:nor/>
                      </m:rPr>
                      <a:rPr lang="en-US" sz="1100" b="0" i="0" baseline="-25000">
                        <a:solidFill>
                          <a:schemeClr val="tx1"/>
                        </a:solidFill>
                        <a:effectLst/>
                        <a:latin typeface="+mn-lt"/>
                        <a:ea typeface="+mn-ea"/>
                        <a:cs typeface="+mn-cs"/>
                      </a:rPr>
                      <m:t>𝑀𝐴𝑋</m:t>
                    </m:r>
                    <m:r>
                      <m:rPr>
                        <m:nor/>
                      </m:rPr>
                      <a:rPr lang="en-US" sz="1100" b="0" i="0" baseline="0">
                        <a:solidFill>
                          <a:schemeClr val="tx1"/>
                        </a:solidFill>
                        <a:effectLst/>
                        <a:latin typeface="+mn-lt"/>
                        <a:ea typeface="+mn-ea"/>
                        <a:cs typeface="+mn-cs"/>
                      </a:rPr>
                      <m:t>=|</m:t>
                    </m:r>
                    <m:r>
                      <m:rPr>
                        <m:nor/>
                      </m:rPr>
                      <a:rPr lang="en-US" sz="1100" b="0" i="0" baseline="0">
                        <a:solidFill>
                          <a:schemeClr val="tx1"/>
                        </a:solidFill>
                        <a:effectLst/>
                        <a:latin typeface="+mn-lt"/>
                        <a:ea typeface="+mn-ea"/>
                        <a:cs typeface="+mn-cs"/>
                      </a:rPr>
                      <m:t>𝜎</m:t>
                    </m:r>
                    <m:r>
                      <m:rPr>
                        <m:nor/>
                      </m:rPr>
                      <a:rPr lang="en-US" sz="1100" b="0" i="0" baseline="-25000">
                        <a:solidFill>
                          <a:schemeClr val="tx1"/>
                        </a:solidFill>
                        <a:effectLst/>
                        <a:latin typeface="+mn-lt"/>
                        <a:ea typeface="+mn-ea"/>
                        <a:cs typeface="+mn-cs"/>
                      </a:rPr>
                      <m:t>𝑀𝐴𝑋</m:t>
                    </m:r>
                    <m:r>
                      <m:rPr>
                        <m:nor/>
                      </m:rPr>
                      <a:rPr lang="en-US" sz="1100" b="0" i="0" baseline="-25000">
                        <a:solidFill>
                          <a:schemeClr val="tx1"/>
                        </a:solidFill>
                        <a:effectLst/>
                        <a:latin typeface="+mn-lt"/>
                        <a:ea typeface="+mn-ea"/>
                        <a:cs typeface="+mn-cs"/>
                      </a:rPr>
                      <m:t>,</m:t>
                    </m:r>
                    <m:r>
                      <m:rPr>
                        <m:nor/>
                      </m:rPr>
                      <a:rPr lang="en-US" sz="1100" b="0" i="0" baseline="-25000">
                        <a:solidFill>
                          <a:schemeClr val="tx1"/>
                        </a:solidFill>
                        <a:effectLst/>
                        <a:latin typeface="+mn-lt"/>
                        <a:ea typeface="+mn-ea"/>
                        <a:cs typeface="+mn-cs"/>
                      </a:rPr>
                      <m:t>𝑃𝑟</m:t>
                    </m:r>
                    <m:r>
                      <m:rPr>
                        <m:nor/>
                      </m:rPr>
                      <a:rPr lang="en-US" sz="1100" b="0" i="0" baseline="0">
                        <a:solidFill>
                          <a:schemeClr val="tx1"/>
                        </a:solidFill>
                        <a:effectLst/>
                        <a:latin typeface="+mn-lt"/>
                        <a:ea typeface="+mn-ea"/>
                        <a:cs typeface="+mn-cs"/>
                      </a:rPr>
                      <m:t>| </m:t>
                    </m:r>
                  </m:oMath>
                </m:oMathPara>
              </a14:m>
              <a:endParaRPr lang="en-US" sz="1100" b="0" i="0" baseline="0">
                <a:solidFill>
                  <a:schemeClr val="tx1"/>
                </a:solidFill>
                <a:effectLst/>
                <a:latin typeface="+mn-lt"/>
                <a:ea typeface="+mn-ea"/>
                <a:cs typeface="+mn-cs"/>
              </a:endParaRPr>
            </a:p>
            <a:p>
              <a:pPr/>
              <a14:m>
                <m:oMathPara xmlns:m="http://schemas.openxmlformats.org/officeDocument/2006/math">
                  <m:oMathParaPr>
                    <m:jc m:val="centerGroup"/>
                  </m:oMathParaPr>
                  <m:oMath xmlns:m="http://schemas.openxmlformats.org/officeDocument/2006/math">
                    <m:r>
                      <m:rPr>
                        <m:nor/>
                      </m:rPr>
                      <a:rPr lang="en-US" sz="1100" b="0" i="0" baseline="0">
                        <a:solidFill>
                          <a:schemeClr val="tx1"/>
                        </a:solidFill>
                        <a:effectLst/>
                        <a:latin typeface="+mn-lt"/>
                        <a:ea typeface="+mn-ea"/>
                        <a:cs typeface="+mn-cs"/>
                      </a:rPr>
                      <m:t>F</m:t>
                    </m:r>
                    <m:r>
                      <m:rPr>
                        <m:nor/>
                      </m:rPr>
                      <a:rPr lang="en-US" sz="1100" b="0" i="0" baseline="-25000">
                        <a:solidFill>
                          <a:schemeClr val="tx1"/>
                        </a:solidFill>
                        <a:effectLst/>
                        <a:latin typeface="+mn-lt"/>
                        <a:ea typeface="+mn-ea"/>
                        <a:cs typeface="+mn-cs"/>
                      </a:rPr>
                      <m:t>cu</m:t>
                    </m:r>
                    <m:r>
                      <m:rPr>
                        <m:nor/>
                      </m:rPr>
                      <a:rPr lang="en-US" sz="1100" b="0" i="0" baseline="-25000">
                        <a:solidFill>
                          <a:schemeClr val="tx1"/>
                        </a:solidFill>
                        <a:effectLst/>
                        <a:latin typeface="+mn-lt"/>
                        <a:ea typeface="+mn-ea"/>
                        <a:cs typeface="+mn-cs"/>
                      </a:rPr>
                      <m:t> , </m:t>
                    </m:r>
                    <m:r>
                      <m:rPr>
                        <m:nor/>
                      </m:rPr>
                      <a:rPr lang="en-US" sz="1100" b="0" i="0" baseline="0">
                        <a:solidFill>
                          <a:schemeClr val="tx1"/>
                        </a:solidFill>
                        <a:effectLst/>
                        <a:latin typeface="+mn-lt"/>
                        <a:ea typeface="+mn-ea"/>
                        <a:cs typeface="+mn-cs"/>
                      </a:rPr>
                      <m:t>𝑖𝑓</m:t>
                    </m:r>
                    <m:r>
                      <m:rPr>
                        <m:nor/>
                      </m:rPr>
                      <a:rPr lang="en-US" sz="1100" b="0" i="0" baseline="0">
                        <a:solidFill>
                          <a:schemeClr val="tx1"/>
                        </a:solidFill>
                        <a:effectLst/>
                        <a:latin typeface="+mn-lt"/>
                        <a:ea typeface="+mn-ea"/>
                        <a:cs typeface="+mn-cs"/>
                      </a:rPr>
                      <m:t> </m:t>
                    </m:r>
                    <m:r>
                      <m:rPr>
                        <m:nor/>
                      </m:rPr>
                      <a:rPr lang="en-US" sz="1100" b="0" i="0" baseline="0">
                        <a:solidFill>
                          <a:schemeClr val="tx1"/>
                        </a:solidFill>
                        <a:effectLst/>
                        <a:latin typeface="+mn-lt"/>
                        <a:ea typeface="+mn-ea"/>
                        <a:cs typeface="+mn-cs"/>
                      </a:rPr>
                      <m:t>𝜎</m:t>
                    </m:r>
                    <m:r>
                      <m:rPr>
                        <m:nor/>
                      </m:rPr>
                      <a:rPr lang="en-US" sz="1100" b="0" i="0" baseline="-25000">
                        <a:solidFill>
                          <a:schemeClr val="tx1"/>
                        </a:solidFill>
                        <a:effectLst/>
                        <a:latin typeface="+mn-lt"/>
                        <a:ea typeface="+mn-ea"/>
                        <a:cs typeface="+mn-cs"/>
                      </a:rPr>
                      <m:t>𝑀𝐴𝑋</m:t>
                    </m:r>
                    <m:r>
                      <m:rPr>
                        <m:nor/>
                      </m:rPr>
                      <a:rPr lang="en-US" sz="1100" b="0" i="0" baseline="0">
                        <a:solidFill>
                          <a:schemeClr val="tx1"/>
                        </a:solidFill>
                        <a:effectLst/>
                        <a:latin typeface="+mn-lt"/>
                        <a:ea typeface="+mn-ea"/>
                        <a:cs typeface="+mn-cs"/>
                      </a:rPr>
                      <m:t>=|</m:t>
                    </m:r>
                    <m:r>
                      <m:rPr>
                        <m:nor/>
                      </m:rPr>
                      <a:rPr lang="en-US" sz="1100" b="0" i="0" baseline="0">
                        <a:solidFill>
                          <a:schemeClr val="tx1"/>
                        </a:solidFill>
                        <a:effectLst/>
                        <a:latin typeface="+mn-lt"/>
                        <a:ea typeface="+mn-ea"/>
                        <a:cs typeface="+mn-cs"/>
                      </a:rPr>
                      <m:t>𝜎</m:t>
                    </m:r>
                    <m:r>
                      <m:rPr>
                        <m:nor/>
                      </m:rPr>
                      <a:rPr lang="en-US" sz="1100" b="0" i="0" baseline="-25000">
                        <a:solidFill>
                          <a:schemeClr val="tx1"/>
                        </a:solidFill>
                        <a:effectLst/>
                        <a:latin typeface="+mn-lt"/>
                        <a:ea typeface="+mn-ea"/>
                        <a:cs typeface="+mn-cs"/>
                      </a:rPr>
                      <m:t>min</m:t>
                    </m:r>
                    <m:r>
                      <m:rPr>
                        <m:nor/>
                      </m:rPr>
                      <a:rPr lang="en-US" sz="1100" b="0" i="0" baseline="-25000">
                        <a:solidFill>
                          <a:schemeClr val="tx1"/>
                        </a:solidFill>
                        <a:effectLst/>
                        <a:latin typeface="+mn-lt"/>
                        <a:ea typeface="+mn-ea"/>
                        <a:cs typeface="+mn-cs"/>
                      </a:rPr>
                      <m:t>,</m:t>
                    </m:r>
                    <m:r>
                      <m:rPr>
                        <m:nor/>
                      </m:rPr>
                      <a:rPr lang="en-US" sz="1100" b="0" i="0" baseline="-25000">
                        <a:solidFill>
                          <a:schemeClr val="tx1"/>
                        </a:solidFill>
                        <a:effectLst/>
                        <a:latin typeface="+mn-lt"/>
                        <a:ea typeface="+mn-ea"/>
                        <a:cs typeface="+mn-cs"/>
                      </a:rPr>
                      <m:t>𝑃𝑟</m:t>
                    </m:r>
                    <m:r>
                      <m:rPr>
                        <m:nor/>
                      </m:rPr>
                      <a:rPr lang="en-US" sz="1100" b="0" i="0" baseline="0">
                        <a:solidFill>
                          <a:schemeClr val="tx1"/>
                        </a:solidFill>
                        <a:effectLst/>
                        <a:latin typeface="+mn-lt"/>
                        <a:ea typeface="+mn-ea"/>
                        <a:cs typeface="+mn-cs"/>
                      </a:rPr>
                      <m:t>| </m:t>
                    </m:r>
                  </m:oMath>
                </m:oMathPara>
              </a14:m>
              <a:endParaRPr lang="en-US">
                <a:effectLst/>
              </a:endParaRPr>
            </a:p>
          </xdr:txBody>
        </xdr:sp>
      </mc:Choice>
      <mc:Fallback xmlns="">
        <xdr:sp macro="" textlink="">
          <xdr:nvSpPr>
            <xdr:cNvPr id="45" name="TextBox 44">
              <a:extLst>
                <a:ext uri="{FF2B5EF4-FFF2-40B4-BE49-F238E27FC236}">
                  <a16:creationId xmlns:a16="http://schemas.microsoft.com/office/drawing/2014/main" id="{E3EC5F18-8915-4344-B214-0FA5861BD72C}"/>
                </a:ext>
              </a:extLst>
            </xdr:cNvPr>
            <xdr:cNvSpPr txBox="1"/>
          </xdr:nvSpPr>
          <xdr:spPr>
            <a:xfrm>
              <a:off x="2400300" y="41671875"/>
              <a:ext cx="1370567" cy="3444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u="none" strike="noStrike" baseline="0">
                  <a:solidFill>
                    <a:schemeClr val="tx1"/>
                  </a:solidFill>
                  <a:latin typeface="Cambria Math" panose="02040503050406030204" pitchFamily="18" charset="0"/>
                  <a:ea typeface="+mn-ea"/>
                  <a:cs typeface="+mn-cs"/>
                </a:rPr>
                <a:t>"F</a:t>
              </a:r>
              <a:r>
                <a:rPr lang="en-US" sz="1100" b="0" i="0" u="none" strike="noStrike" baseline="-25000">
                  <a:solidFill>
                    <a:schemeClr val="tx1"/>
                  </a:solidFill>
                  <a:latin typeface="Cambria Math" panose="02040503050406030204" pitchFamily="18" charset="0"/>
                  <a:ea typeface="+mn-ea"/>
                  <a:cs typeface="+mn-cs"/>
                </a:rPr>
                <a:t>tu , </a:t>
              </a:r>
              <a:r>
                <a:rPr lang="en-US" sz="1100" b="0" i="0" baseline="0">
                  <a:solidFill>
                    <a:schemeClr val="tx1"/>
                  </a:solidFill>
                  <a:effectLst/>
                  <a:latin typeface="Cambria Math" panose="02040503050406030204" pitchFamily="18" charset="0"/>
                  <a:ea typeface="+mn-ea"/>
                  <a:cs typeface="+mn-cs"/>
                </a:rPr>
                <a:t>𝑖𝑓 𝜎</a:t>
              </a:r>
              <a:r>
                <a:rPr lang="en-US" sz="1100" b="0" i="0" baseline="-25000">
                  <a:solidFill>
                    <a:schemeClr val="tx1"/>
                  </a:solidFill>
                  <a:effectLst/>
                  <a:latin typeface="Cambria Math" panose="02040503050406030204" pitchFamily="18" charset="0"/>
                  <a:ea typeface="+mn-ea"/>
                  <a:cs typeface="+mn-cs"/>
                </a:rPr>
                <a:t>𝑀𝐴𝑋</a:t>
              </a:r>
              <a:r>
                <a:rPr lang="en-US" sz="1100" b="0" i="0" baseline="0">
                  <a:solidFill>
                    <a:schemeClr val="tx1"/>
                  </a:solidFill>
                  <a:effectLst/>
                  <a:latin typeface="Cambria Math" panose="02040503050406030204" pitchFamily="18" charset="0"/>
                  <a:ea typeface="+mn-ea"/>
                  <a:cs typeface="+mn-cs"/>
                </a:rPr>
                <a:t>=|𝜎</a:t>
              </a:r>
              <a:r>
                <a:rPr lang="en-US" sz="1100" b="0" i="0" baseline="-25000">
                  <a:solidFill>
                    <a:schemeClr val="tx1"/>
                  </a:solidFill>
                  <a:effectLst/>
                  <a:latin typeface="Cambria Math" panose="02040503050406030204" pitchFamily="18" charset="0"/>
                  <a:ea typeface="+mn-ea"/>
                  <a:cs typeface="+mn-cs"/>
                </a:rPr>
                <a:t>𝑀𝐴𝑋,𝑃𝑟</a:t>
              </a:r>
              <a:r>
                <a:rPr lang="en-US" sz="1100" b="0" i="0" baseline="0">
                  <a:solidFill>
                    <a:schemeClr val="tx1"/>
                  </a:solidFill>
                  <a:effectLst/>
                  <a:latin typeface="Cambria Math" panose="02040503050406030204" pitchFamily="18" charset="0"/>
                  <a:ea typeface="+mn-ea"/>
                  <a:cs typeface="+mn-cs"/>
                </a:rPr>
                <a:t>| </a:t>
              </a:r>
              <a:r>
                <a:rPr lang="en-US" sz="1100" b="0" i="0" baseline="0">
                  <a:solidFill>
                    <a:schemeClr val="tx1"/>
                  </a:solidFill>
                  <a:effectLst/>
                  <a:latin typeface="+mn-lt"/>
                  <a:ea typeface="+mn-ea"/>
                  <a:cs typeface="+mn-cs"/>
                </a:rPr>
                <a:t>"</a:t>
              </a:r>
            </a:p>
            <a:p>
              <a:pPr/>
              <a:r>
                <a:rPr lang="en-US" sz="1100" b="0" i="0" baseline="0">
                  <a:solidFill>
                    <a:schemeClr val="tx1"/>
                  </a:solidFill>
                  <a:effectLst/>
                  <a:latin typeface="Cambria Math" panose="02040503050406030204" pitchFamily="18" charset="0"/>
                  <a:ea typeface="+mn-ea"/>
                  <a:cs typeface="+mn-cs"/>
                </a:rPr>
                <a:t>"F</a:t>
              </a:r>
              <a:r>
                <a:rPr lang="en-US" sz="1100" b="0" i="0" baseline="-25000">
                  <a:solidFill>
                    <a:schemeClr val="tx1"/>
                  </a:solidFill>
                  <a:effectLst/>
                  <a:latin typeface="Cambria Math" panose="02040503050406030204" pitchFamily="18" charset="0"/>
                  <a:ea typeface="+mn-ea"/>
                  <a:cs typeface="+mn-cs"/>
                </a:rPr>
                <a:t>cu , </a:t>
              </a:r>
              <a:r>
                <a:rPr lang="en-US" sz="1100" b="0" i="0" baseline="0">
                  <a:solidFill>
                    <a:schemeClr val="tx1"/>
                  </a:solidFill>
                  <a:effectLst/>
                  <a:latin typeface="Cambria Math" panose="02040503050406030204" pitchFamily="18" charset="0"/>
                  <a:ea typeface="+mn-ea"/>
                  <a:cs typeface="+mn-cs"/>
                </a:rPr>
                <a:t>𝑖𝑓 𝜎</a:t>
              </a:r>
              <a:r>
                <a:rPr lang="en-US" sz="1100" b="0" i="0" baseline="-25000">
                  <a:solidFill>
                    <a:schemeClr val="tx1"/>
                  </a:solidFill>
                  <a:effectLst/>
                  <a:latin typeface="Cambria Math" panose="02040503050406030204" pitchFamily="18" charset="0"/>
                  <a:ea typeface="+mn-ea"/>
                  <a:cs typeface="+mn-cs"/>
                </a:rPr>
                <a:t>𝑀𝐴𝑋</a:t>
              </a:r>
              <a:r>
                <a:rPr lang="en-US" sz="1100" b="0" i="0" baseline="0">
                  <a:solidFill>
                    <a:schemeClr val="tx1"/>
                  </a:solidFill>
                  <a:effectLst/>
                  <a:latin typeface="Cambria Math" panose="02040503050406030204" pitchFamily="18" charset="0"/>
                  <a:ea typeface="+mn-ea"/>
                  <a:cs typeface="+mn-cs"/>
                </a:rPr>
                <a:t>=|𝜎</a:t>
              </a:r>
              <a:r>
                <a:rPr lang="en-US" sz="1100" b="0" i="0" baseline="-25000">
                  <a:solidFill>
                    <a:schemeClr val="tx1"/>
                  </a:solidFill>
                  <a:effectLst/>
                  <a:latin typeface="Cambria Math" panose="02040503050406030204" pitchFamily="18" charset="0"/>
                  <a:ea typeface="+mn-ea"/>
                  <a:cs typeface="+mn-cs"/>
                </a:rPr>
                <a:t>min,𝑃𝑟</a:t>
              </a:r>
              <a:r>
                <a:rPr lang="en-US" sz="1100" b="0" i="0" baseline="0">
                  <a:solidFill>
                    <a:schemeClr val="tx1"/>
                  </a:solidFill>
                  <a:effectLst/>
                  <a:latin typeface="Cambria Math" panose="02040503050406030204" pitchFamily="18" charset="0"/>
                  <a:ea typeface="+mn-ea"/>
                  <a:cs typeface="+mn-cs"/>
                </a:rPr>
                <a:t>| </a:t>
              </a:r>
              <a:r>
                <a:rPr lang="en-US" sz="1100" b="0" i="0" baseline="0">
                  <a:solidFill>
                    <a:schemeClr val="tx1"/>
                  </a:solidFill>
                  <a:effectLst/>
                  <a:latin typeface="+mn-lt"/>
                  <a:ea typeface="+mn-ea"/>
                  <a:cs typeface="+mn-cs"/>
                </a:rPr>
                <a:t>"</a:t>
              </a:r>
              <a:endParaRPr lang="en-US">
                <a:effectLst/>
              </a:endParaRPr>
            </a:p>
          </xdr:txBody>
        </xdr:sp>
      </mc:Fallback>
    </mc:AlternateContent>
    <xdr:clientData/>
  </xdr:oneCellAnchor>
  <xdr:oneCellAnchor>
    <xdr:from>
      <xdr:col>1</xdr:col>
      <xdr:colOff>1190625</xdr:colOff>
      <xdr:row>147</xdr:row>
      <xdr:rowOff>7844</xdr:rowOff>
    </xdr:from>
    <xdr:ext cx="819150" cy="371475"/>
    <mc:AlternateContent xmlns:mc="http://schemas.openxmlformats.org/markup-compatibility/2006" xmlns:a14="http://schemas.microsoft.com/office/drawing/2010/main">
      <mc:Choice Requires="a14">
        <xdr:sp macro="" textlink="">
          <xdr:nvSpPr>
            <xdr:cNvPr id="46" name="TextBox 45">
              <a:extLst>
                <a:ext uri="{FF2B5EF4-FFF2-40B4-BE49-F238E27FC236}">
                  <a16:creationId xmlns:a16="http://schemas.microsoft.com/office/drawing/2014/main" id="{00000000-0008-0000-0200-00002E000000}"/>
                </a:ext>
              </a:extLst>
            </xdr:cNvPr>
            <xdr:cNvSpPr txBox="1"/>
          </xdr:nvSpPr>
          <xdr:spPr>
            <a:xfrm>
              <a:off x="3067050" y="25611044"/>
              <a:ext cx="819150"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f>
                    <m:fPr>
                      <m:ctrlPr>
                        <a:rPr lang="en-US" sz="1100" b="0" i="1" u="none" strike="noStrike" baseline="0" smtClean="0">
                          <a:solidFill>
                            <a:schemeClr val="tx1"/>
                          </a:solidFill>
                          <a:latin typeface="Cambria Math" panose="02040503050406030204" pitchFamily="18" charset="0"/>
                          <a:ea typeface="+mn-ea"/>
                          <a:cs typeface="+mn-cs"/>
                        </a:rPr>
                      </m:ctrlPr>
                    </m:fPr>
                    <m:num>
                      <m:r>
                        <m:rPr>
                          <m:nor/>
                        </m:rPr>
                        <a:rPr lang="en-US" sz="1100" b="0" i="1" u="none" strike="noStrike" baseline="0" smtClean="0">
                          <a:solidFill>
                            <a:schemeClr val="tx1"/>
                          </a:solidFill>
                          <a:latin typeface="Cambria Math" panose="02040503050406030204" pitchFamily="18" charset="0"/>
                          <a:ea typeface="+mn-ea"/>
                          <a:cs typeface="+mn-cs"/>
                        </a:rPr>
                        <m:t>F</m:t>
                      </m:r>
                      <m:r>
                        <m:rPr>
                          <m:nor/>
                        </m:rPr>
                        <a:rPr lang="en-US" sz="1100" b="0" i="0" baseline="-25000">
                          <a:solidFill>
                            <a:schemeClr val="tx1"/>
                          </a:solidFill>
                          <a:effectLst/>
                          <a:latin typeface="+mn-lt"/>
                          <a:ea typeface="+mn-ea"/>
                          <a:cs typeface="+mn-cs"/>
                        </a:rPr>
                        <m:t>allow</m:t>
                      </m:r>
                      <m:r>
                        <m:rPr>
                          <m:nor/>
                        </m:rPr>
                        <a:rPr lang="en-US" sz="1100" b="0" i="0" baseline="-25000">
                          <a:solidFill>
                            <a:schemeClr val="tx1"/>
                          </a:solidFill>
                          <a:effectLst/>
                          <a:latin typeface="+mn-lt"/>
                          <a:ea typeface="+mn-ea"/>
                          <a:cs typeface="+mn-cs"/>
                        </a:rPr>
                        <m:t>_</m:t>
                      </m:r>
                      <m:r>
                        <m:rPr>
                          <m:nor/>
                        </m:rPr>
                        <a:rPr lang="en-US" sz="1100" b="0" i="0" baseline="-25000">
                          <a:solidFill>
                            <a:schemeClr val="tx1"/>
                          </a:solidFill>
                          <a:effectLst/>
                          <a:latin typeface="+mn-lt"/>
                          <a:ea typeface="+mn-ea"/>
                          <a:cs typeface="+mn-cs"/>
                        </a:rPr>
                        <m:t>local</m:t>
                      </m:r>
                    </m:num>
                    <m:den>
                      <m:r>
                        <m:rPr>
                          <m:nor/>
                        </m:rPr>
                        <a:rPr lang="en-US" sz="1100" b="0" i="0" baseline="0">
                          <a:solidFill>
                            <a:schemeClr val="tx1"/>
                          </a:solidFill>
                          <a:effectLst/>
                          <a:latin typeface="+mn-lt"/>
                          <a:ea typeface="+mn-ea"/>
                          <a:cs typeface="+mn-cs"/>
                        </a:rPr>
                        <m:t>|</m:t>
                      </m:r>
                      <m:r>
                        <m:rPr>
                          <m:nor/>
                        </m:rPr>
                        <a:rPr lang="en-US" sz="1100" b="0" i="0" baseline="0">
                          <a:solidFill>
                            <a:schemeClr val="tx1"/>
                          </a:solidFill>
                          <a:effectLst/>
                          <a:latin typeface="+mn-lt"/>
                          <a:ea typeface="+mn-ea"/>
                          <a:cs typeface="+mn-cs"/>
                        </a:rPr>
                        <m:t>𝜎</m:t>
                      </m:r>
                      <m:r>
                        <m:rPr>
                          <m:nor/>
                        </m:rPr>
                        <a:rPr lang="en-US" sz="1100" b="0" i="0" baseline="-25000">
                          <a:solidFill>
                            <a:schemeClr val="tx1"/>
                          </a:solidFill>
                          <a:effectLst/>
                          <a:latin typeface="+mn-lt"/>
                          <a:ea typeface="+mn-ea"/>
                          <a:cs typeface="+mn-cs"/>
                        </a:rPr>
                        <m:t>buck</m:t>
                      </m:r>
                      <m:r>
                        <m:rPr>
                          <m:nor/>
                        </m:rPr>
                        <a:rPr lang="en-US" sz="1100" b="0" i="0" baseline="0">
                          <a:solidFill>
                            <a:schemeClr val="tx1"/>
                          </a:solidFill>
                          <a:effectLst/>
                          <a:latin typeface="+mn-lt"/>
                          <a:ea typeface="+mn-ea"/>
                          <a:cs typeface="+mn-cs"/>
                        </a:rPr>
                        <m:t>| </m:t>
                      </m:r>
                    </m:den>
                  </m:f>
                </m:oMath>
              </a14:m>
              <a:r>
                <a:rPr lang="en-US" sz="1100" b="0" i="0" u="none" strike="noStrike" baseline="0">
                  <a:solidFill>
                    <a:schemeClr val="tx1"/>
                  </a:solidFill>
                  <a:latin typeface="+mn-lt"/>
                  <a:ea typeface="+mn-ea"/>
                  <a:cs typeface="+mn-cs"/>
                </a:rPr>
                <a:t> - 1</a:t>
              </a:r>
            </a:p>
          </xdr:txBody>
        </xdr:sp>
      </mc:Choice>
      <mc:Fallback xmlns="">
        <xdr:sp macro="" textlink="">
          <xdr:nvSpPr>
            <xdr:cNvPr id="46" name="TextBox 45">
              <a:extLst>
                <a:ext uri="{FF2B5EF4-FFF2-40B4-BE49-F238E27FC236}">
                  <a16:creationId xmlns:a16="http://schemas.microsoft.com/office/drawing/2014/main" id="{6233C54E-D55B-4DDC-90CA-BE1D839EA22E}"/>
                </a:ext>
              </a:extLst>
            </xdr:cNvPr>
            <xdr:cNvSpPr txBox="1"/>
          </xdr:nvSpPr>
          <xdr:spPr>
            <a:xfrm>
              <a:off x="3067050" y="25611044"/>
              <a:ext cx="819150"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n-US" sz="1100" b="0" i="0" u="none" strike="noStrike" baseline="0">
                  <a:solidFill>
                    <a:schemeClr val="tx1"/>
                  </a:solidFill>
                  <a:latin typeface="Cambria Math" panose="02040503050406030204" pitchFamily="18" charset="0"/>
                  <a:ea typeface="+mn-ea"/>
                  <a:cs typeface="+mn-cs"/>
                </a:rPr>
                <a:t>"F</a:t>
              </a:r>
              <a:r>
                <a:rPr lang="en-US" sz="1100" b="0" i="0" baseline="-25000">
                  <a:solidFill>
                    <a:schemeClr val="tx1"/>
                  </a:solidFill>
                  <a:effectLst/>
                  <a:latin typeface="+mn-lt"/>
                  <a:ea typeface="+mn-ea"/>
                  <a:cs typeface="+mn-cs"/>
                </a:rPr>
                <a:t>allow_local</a:t>
              </a:r>
              <a:r>
                <a:rPr lang="en-US" sz="1100" b="0" i="0" baseline="-25000">
                  <a:solidFill>
                    <a:schemeClr val="tx1"/>
                  </a:solidFill>
                  <a:effectLst/>
                  <a:latin typeface="Cambria Math" panose="02040503050406030204" pitchFamily="18" charset="0"/>
                  <a:ea typeface="+mn-ea"/>
                  <a:cs typeface="+mn-cs"/>
                </a:rPr>
                <a:t>" </a:t>
              </a:r>
              <a:r>
                <a:rPr lang="en-US" sz="1100" b="0" i="0" u="none" strike="noStrike" baseline="0">
                  <a:solidFill>
                    <a:schemeClr val="tx1"/>
                  </a:solidFill>
                  <a:effectLst/>
                  <a:latin typeface="Cambria Math" panose="02040503050406030204" pitchFamily="18" charset="0"/>
                  <a:ea typeface="+mn-ea"/>
                  <a:cs typeface="+mn-cs"/>
                </a:rPr>
                <a:t>/</a:t>
              </a:r>
              <a:r>
                <a:rPr lang="en-US" sz="1100" b="0" i="0" u="none" strike="noStrike" baseline="0">
                  <a:solidFill>
                    <a:schemeClr val="tx1"/>
                  </a:solidFill>
                  <a:effectLst/>
                  <a:latin typeface="+mn-lt"/>
                  <a:ea typeface="+mn-ea"/>
                  <a:cs typeface="+mn-cs"/>
                </a:rPr>
                <a:t>"</a:t>
              </a:r>
              <a:r>
                <a:rPr lang="en-US" sz="1100" b="0" i="0" baseline="0">
                  <a:solidFill>
                    <a:schemeClr val="tx1"/>
                  </a:solidFill>
                  <a:effectLst/>
                  <a:latin typeface="+mn-lt"/>
                  <a:ea typeface="+mn-ea"/>
                  <a:cs typeface="+mn-cs"/>
                </a:rPr>
                <a:t>|𝜎</a:t>
              </a:r>
              <a:r>
                <a:rPr lang="en-US" sz="1100" b="0" i="0" baseline="-25000">
                  <a:solidFill>
                    <a:schemeClr val="tx1"/>
                  </a:solidFill>
                  <a:effectLst/>
                  <a:latin typeface="+mn-lt"/>
                  <a:ea typeface="+mn-ea"/>
                  <a:cs typeface="+mn-cs"/>
                </a:rPr>
                <a:t>buck</a:t>
              </a:r>
              <a:r>
                <a:rPr lang="en-US" sz="1100" b="0" i="0" baseline="0">
                  <a:solidFill>
                    <a:schemeClr val="tx1"/>
                  </a:solidFill>
                  <a:effectLst/>
                  <a:latin typeface="+mn-lt"/>
                  <a:ea typeface="+mn-ea"/>
                  <a:cs typeface="+mn-cs"/>
                </a:rPr>
                <a:t>| </a:t>
              </a:r>
              <a:r>
                <a:rPr lang="en-US" sz="1100" b="0" i="0" baseline="0">
                  <a:solidFill>
                    <a:schemeClr val="tx1"/>
                  </a:solidFill>
                  <a:effectLst/>
                  <a:latin typeface="Cambria Math" panose="02040503050406030204" pitchFamily="18" charset="0"/>
                  <a:ea typeface="+mn-ea"/>
                  <a:cs typeface="+mn-cs"/>
                </a:rPr>
                <a:t>" </a:t>
              </a:r>
              <a:r>
                <a:rPr lang="en-US" sz="1100" b="0" i="0" u="none" strike="noStrike" baseline="0">
                  <a:solidFill>
                    <a:schemeClr val="tx1"/>
                  </a:solidFill>
                  <a:latin typeface="+mn-lt"/>
                  <a:ea typeface="+mn-ea"/>
                  <a:cs typeface="+mn-cs"/>
                </a:rPr>
                <a:t> - 1</a:t>
              </a:r>
            </a:p>
          </xdr:txBody>
        </xdr:sp>
      </mc:Fallback>
    </mc:AlternateContent>
    <xdr:clientData/>
  </xdr:oneCellAnchor>
  <xdr:twoCellAnchor>
    <xdr:from>
      <xdr:col>1</xdr:col>
      <xdr:colOff>1019175</xdr:colOff>
      <xdr:row>58</xdr:row>
      <xdr:rowOff>57150</xdr:rowOff>
    </xdr:from>
    <xdr:to>
      <xdr:col>1</xdr:col>
      <xdr:colOff>1866900</xdr:colOff>
      <xdr:row>58</xdr:row>
      <xdr:rowOff>378585</xdr:rowOff>
    </xdr:to>
    <mc:AlternateContent xmlns:mc="http://schemas.openxmlformats.org/markup-compatibility/2006" xmlns:a14="http://schemas.microsoft.com/office/drawing/2010/main">
      <mc:Choice Requires="a14">
        <xdr:sp macro="" textlink="">
          <xdr:nvSpPr>
            <xdr:cNvPr id="44" name="Text Box 54">
              <a:extLst>
                <a:ext uri="{FF2B5EF4-FFF2-40B4-BE49-F238E27FC236}">
                  <a16:creationId xmlns:a16="http://schemas.microsoft.com/office/drawing/2014/main" id="{00000000-0008-0000-0200-00002C000000}"/>
                </a:ext>
              </a:extLst>
            </xdr:cNvPr>
            <xdr:cNvSpPr txBox="1"/>
          </xdr:nvSpPr>
          <xdr:spPr>
            <a:xfrm>
              <a:off x="3048000" y="16221075"/>
              <a:ext cx="847725" cy="321435"/>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0" tIns="0" rIns="0" bIns="0" rtlCol="0" anchor="t">
              <a:spAutoFit/>
            </a:bodyPr>
            <a:lstStyle/>
            <a:p>
              <a:pPr marL="0" marR="0" fontAlgn="base">
                <a:spcBef>
                  <a:spcPts val="0"/>
                </a:spcBef>
                <a:spcAft>
                  <a:spcPts val="0"/>
                </a:spcAft>
              </a:pPr>
              <a14:m>
                <m:oMathPara xmlns:m="http://schemas.openxmlformats.org/officeDocument/2006/math">
                  <m:oMathParaPr>
                    <m:jc m:val="centerGroup"/>
                  </m:oMathParaPr>
                  <m:oMath xmlns:m="http://schemas.openxmlformats.org/officeDocument/2006/math">
                    <m:f>
                      <m:fPr>
                        <m:ctrlPr>
                          <a:rPr lang="en-US" sz="1100" i="1">
                            <a:solidFill>
                              <a:srgbClr val="000000"/>
                            </a:solidFill>
                            <a:effectLst/>
                            <a:latin typeface="Cambria Math" panose="02040503050406030204" pitchFamily="18" charset="0"/>
                            <a:ea typeface="Times New Roman" panose="02020603050405020304" pitchFamily="18" charset="0"/>
                            <a:cs typeface="Times New Roman" panose="02020603050405020304" pitchFamily="18" charset="0"/>
                          </a:rPr>
                        </m:ctrlPr>
                      </m:fPr>
                      <m:num>
                        <m:r>
                          <a:rPr lang="en-US" sz="1100" b="0" i="1">
                            <a:solidFill>
                              <a:srgbClr val="000000"/>
                            </a:solidFill>
                            <a:effectLst/>
                            <a:latin typeface="Cambria Math" panose="02040503050406030204" pitchFamily="18" charset="0"/>
                            <a:ea typeface="Times New Roman" panose="02020603050405020304" pitchFamily="18" charset="0"/>
                            <a:cs typeface="Times New Roman" panose="02020603050405020304" pitchFamily="18" charset="0"/>
                          </a:rPr>
                          <m:t>5</m:t>
                        </m:r>
                        <m:r>
                          <a:rPr lang="en-US" sz="1100" b="0" i="1">
                            <a:solidFill>
                              <a:srgbClr val="000000"/>
                            </a:solidFill>
                            <a:effectLst/>
                            <a:latin typeface="Cambria Math" panose="02040503050406030204" pitchFamily="18" charset="0"/>
                            <a:ea typeface="Times New Roman" panose="02020603050405020304" pitchFamily="18" charset="0"/>
                            <a:cs typeface="Times New Roman" panose="02020603050405020304" pitchFamily="18" charset="0"/>
                          </a:rPr>
                          <m:t>𝐷</m:t>
                        </m:r>
                      </m:num>
                      <m:den>
                        <m:r>
                          <a:rPr lang="en-US" sz="1100" b="0" i="1">
                            <a:solidFill>
                              <a:srgbClr val="000000"/>
                            </a:solidFill>
                            <a:effectLst/>
                            <a:latin typeface="Cambria Math" panose="02040503050406030204" pitchFamily="18" charset="0"/>
                            <a:ea typeface="Times New Roman" panose="02020603050405020304" pitchFamily="18" charset="0"/>
                            <a:cs typeface="Times New Roman" panose="02020603050405020304" pitchFamily="18" charset="0"/>
                          </a:rPr>
                          <m:t>4</m:t>
                        </m:r>
                        <m:r>
                          <a:rPr lang="en-US" sz="1100" b="0" i="1">
                            <a:solidFill>
                              <a:srgbClr val="000000"/>
                            </a:solidFill>
                            <a:effectLst/>
                            <a:latin typeface="Cambria Math" panose="02040503050406030204" pitchFamily="18" charset="0"/>
                            <a:ea typeface="Times New Roman" panose="02020603050405020304" pitchFamily="18" charset="0"/>
                            <a:cs typeface="Times New Roman" panose="02020603050405020304" pitchFamily="18" charset="0"/>
                          </a:rPr>
                          <m:t>𝐷</m:t>
                        </m:r>
                      </m:den>
                    </m:f>
                    <m:r>
                      <a:rPr lang="en-US" sz="1100" i="1">
                        <a:solidFill>
                          <a:srgbClr val="000000"/>
                        </a:solidFill>
                        <a:effectLst/>
                        <a:latin typeface="Cambria Math" panose="02040503050406030204" pitchFamily="18" charset="0"/>
                        <a:ea typeface="Times New Roman" panose="02020603050405020304" pitchFamily="18" charset="0"/>
                        <a:cs typeface="Times New Roman" panose="02020603050405020304" pitchFamily="18" charset="0"/>
                      </a:rPr>
                      <m:t> </m:t>
                    </m:r>
                  </m:oMath>
                </m:oMathPara>
              </a14:m>
              <a:endParaRPr lang="en-US" sz="1000">
                <a:effectLst/>
                <a:latin typeface="Arial" panose="020B0604020202020204" pitchFamily="34" charset="0"/>
                <a:ea typeface="Times New Roman" panose="02020603050405020304" pitchFamily="18" charset="0"/>
                <a:cs typeface="Times New Roman" panose="02020603050405020304" pitchFamily="18" charset="0"/>
              </a:endParaRPr>
            </a:p>
          </xdr:txBody>
        </xdr:sp>
      </mc:Choice>
      <mc:Fallback xmlns="">
        <xdr:sp macro="" textlink="">
          <xdr:nvSpPr>
            <xdr:cNvPr id="44" name="Text Box 54">
              <a:extLst>
                <a:ext uri="{FF2B5EF4-FFF2-40B4-BE49-F238E27FC236}">
                  <a16:creationId xmlns:a16="http://schemas.microsoft.com/office/drawing/2014/main" id="{00000000-0008-0000-0200-000036000000}"/>
                </a:ext>
              </a:extLst>
            </xdr:cNvPr>
            <xdr:cNvSpPr txBox="1"/>
          </xdr:nvSpPr>
          <xdr:spPr>
            <a:xfrm>
              <a:off x="3048000" y="16221075"/>
              <a:ext cx="847725" cy="321435"/>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0" tIns="0" rIns="0" bIns="0" rtlCol="0" anchor="t">
              <a:spAutoFit/>
            </a:bodyPr>
            <a:lstStyle/>
            <a:p>
              <a:pPr marL="0" marR="0" fontAlgn="base">
                <a:spcBef>
                  <a:spcPts val="0"/>
                </a:spcBef>
                <a:spcAft>
                  <a:spcPts val="0"/>
                </a:spcAft>
              </a:pPr>
              <a:r>
                <a:rPr lang="en-US" sz="1100" b="0" i="0">
                  <a:solidFill>
                    <a:srgbClr val="000000"/>
                  </a:solidFill>
                  <a:effectLst/>
                  <a:latin typeface="Cambria Math" panose="02040503050406030204" pitchFamily="18" charset="0"/>
                  <a:ea typeface="Times New Roman" panose="02020603050405020304" pitchFamily="18" charset="0"/>
                  <a:cs typeface="Times New Roman" panose="02020603050405020304" pitchFamily="18" charset="0"/>
                </a:rPr>
                <a:t>5𝐷/4𝐷 </a:t>
              </a:r>
              <a:r>
                <a:rPr lang="en-US" sz="1100" i="0">
                  <a:solidFill>
                    <a:srgbClr val="000000"/>
                  </a:solidFill>
                  <a:effectLst/>
                  <a:latin typeface="Cambria Math" panose="02040503050406030204" pitchFamily="18" charset="0"/>
                  <a:ea typeface="Times New Roman" panose="02020603050405020304" pitchFamily="18" charset="0"/>
                  <a:cs typeface="Times New Roman" panose="02020603050405020304" pitchFamily="18" charset="0"/>
                </a:rPr>
                <a:t> </a:t>
              </a:r>
              <a:endParaRPr lang="en-US" sz="1000">
                <a:effectLst/>
                <a:latin typeface="Arial" panose="020B0604020202020204" pitchFamily="34" charset="0"/>
                <a:ea typeface="Times New Roman" panose="02020603050405020304" pitchFamily="18" charset="0"/>
                <a:cs typeface="Times New Roman" panose="02020603050405020304" pitchFamily="18" charset="0"/>
              </a:endParaRP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409988</xdr:colOff>
      <xdr:row>0</xdr:row>
      <xdr:rowOff>33131</xdr:rowOff>
    </xdr:from>
    <xdr:to>
      <xdr:col>15</xdr:col>
      <xdr:colOff>531908</xdr:colOff>
      <xdr:row>31</xdr:row>
      <xdr:rowOff>2651</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216097" y="33131"/>
          <a:ext cx="5025224" cy="6256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Database" displayName="Database" ref="A1:AD39" totalsRowShown="0" headerRowDxfId="53" dataDxfId="51" headerRowBorderDxfId="52" tableBorderDxfId="50" totalsRowBorderDxfId="49">
  <autoFilter ref="A1:AD39" xr:uid="{00000000-0009-0000-0100-000004000000}"/>
  <tableColumns count="30">
    <tableColumn id="1" xr3:uid="{00000000-0010-0000-0000-000001000000}" name="Aircraft" dataDxfId="48"/>
    <tableColumn id="2" xr3:uid="{00000000-0010-0000-0000-000002000000}" name="Program" dataDxfId="47"/>
    <tableColumn id="3" xr3:uid="{00000000-0010-0000-0000-000003000000}" name="Lip Skin Surface" dataDxfId="46"/>
    <tableColumn id="4" xr3:uid="{00000000-0010-0000-0000-000004000000}" name="Tension Loadcase" dataDxfId="45"/>
    <tableColumn id="27" xr3:uid="{00000000-0010-0000-0000-00001B000000}" name="Compression Loadcase" dataDxfId="44"/>
    <tableColumn id="8" xr3:uid="{00000000-0010-0000-0000-000008000000}" name="Skin Thickness, t, inch" dataDxfId="43"/>
    <tableColumn id="9" xr3:uid="{00000000-0010-0000-0000-000009000000}" name="Radius of lip Skin, inch" dataDxfId="42"/>
    <tableColumn id="12" xr3:uid="{00000000-0010-0000-0000-00000C000000}" name="a, inch" dataDxfId="41"/>
    <tableColumn id="13" xr3:uid="{00000000-0010-0000-0000-00000D000000}" name="b, inch" dataDxfId="40"/>
    <tableColumn id="16" xr3:uid="{00000000-0010-0000-0000-000010000000}" name="Panel Size, inch" dataDxfId="39"/>
    <tableColumn id="17" xr3:uid="{00000000-0010-0000-0000-000011000000}" name="Poisson ratio" dataDxfId="38"/>
    <tableColumn id="18" xr3:uid="{00000000-0010-0000-0000-000012000000}" name="Ftu,ult_strain, PSI" dataDxfId="37"/>
    <tableColumn id="19" xr3:uid="{00000000-0010-0000-0000-000013000000}" name="Fcy, PSI" dataDxfId="36"/>
    <tableColumn id="21" xr3:uid="{00000000-0010-0000-0000-000015000000}" name="Fty, PSI" dataDxfId="35"/>
    <tableColumn id="22" xr3:uid="{00000000-0010-0000-0000-000016000000}" name="Strain Allowable (eu)" dataDxfId="34"/>
    <tableColumn id="10" xr3:uid="{00000000-0010-0000-0000-00000A000000}" name="E, PSI" dataDxfId="33"/>
    <tableColumn id="28" xr3:uid="{00000000-0010-0000-0000-00001C000000}" name="Ec TRF" dataDxfId="32"/>
    <tableColumn id="15" xr3:uid="{00000000-0010-0000-0000-00000F000000}" name="Ftu TRF" dataDxfId="31"/>
    <tableColumn id="25" xr3:uid="{00000000-0010-0000-0000-000019000000}" name="Fcy TRF" dataDxfId="30"/>
    <tableColumn id="14" xr3:uid="{00000000-0010-0000-0000-00000E000000}" name="Temp, F" dataDxfId="29"/>
    <tableColumn id="11" xr3:uid="{00000000-0010-0000-0000-00000B000000}" name="Max. Critical" dataDxfId="28"/>
    <tableColumn id="5" xr3:uid="{00000000-0010-0000-0000-000005000000}" name="Pressure, PSI" dataDxfId="27"/>
    <tableColumn id="6" xr3:uid="{00000000-0010-0000-0000-000006000000}" name="Tension Stress, PSI" dataDxfId="26"/>
    <tableColumn id="7" xr3:uid="{00000000-0010-0000-0000-000007000000}" name="Compr Stress, PSI" dataDxfId="25"/>
    <tableColumn id="20" xr3:uid="{00000000-0010-0000-0000-000014000000}" name="Max. Fat. Stress, psi" dataDxfId="24"/>
    <tableColumn id="24" xr3:uid="{00000000-0010-0000-0000-000018000000}" name="Min. Fat Stress, psi" dataDxfId="23"/>
    <tableColumn id="23" xr3:uid="{00000000-0010-0000-0000-000017000000}" name="Aircraft life cycles" dataDxfId="22"/>
    <tableColumn id="26" xr3:uid="{00000000-0010-0000-0000-00001A000000}" name="Reference" dataDxfId="21"/>
    <tableColumn id="29" xr3:uid="{00000000-0010-0000-0000-00001D000000}" name="Ftu, psi" dataDxfId="20"/>
    <tableColumn id="30" xr3:uid="{BC9405E8-7E79-493A-A577-7F3F66DB2E64}" name="Fcu, psi" dataDxfId="1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A1:A12" totalsRowShown="0" headerRowDxfId="18" dataDxfId="16" headerRowBorderDxfId="17" tableBorderDxfId="15" totalsRowBorderDxfId="14">
  <autoFilter ref="A1:A12" xr:uid="{00000000-0009-0000-0100-000001000000}"/>
  <tableColumns count="1">
    <tableColumn id="1" xr3:uid="{00000000-0010-0000-0100-000001000000}" name="Aircraft" dataDxfId="1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B1:C20" totalsRowShown="0" headerRowDxfId="12" dataDxfId="10" headerRowBorderDxfId="11" tableBorderDxfId="9" totalsRowBorderDxfId="8">
  <autoFilter ref="B1:C20" xr:uid="{00000000-0009-0000-0100-000003000000}"/>
  <tableColumns count="2">
    <tableColumn id="1" xr3:uid="{00000000-0010-0000-0200-000001000000}" name="Aircraft" dataDxfId="7"/>
    <tableColumn id="2" xr3:uid="{00000000-0010-0000-0200-000002000000}" name="Program" dataDxfId="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3000000}" name="Table2" displayName="Table2" ref="D1:D3" totalsRowShown="0" headerRowDxfId="5" dataDxfId="3" headerRowBorderDxfId="4" tableBorderDxfId="2" totalsRowBorderDxfId="1">
  <autoFilter ref="D1:D3" xr:uid="{00000000-0009-0000-0100-000002000000}"/>
  <tableColumns count="1">
    <tableColumn id="1" xr3:uid="{00000000-0010-0000-0300-000001000000}" name="Lip Skin Surfac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7.bin"/><Relationship Id="rId4"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B1:N32"/>
  <sheetViews>
    <sheetView showGridLines="0" showRowColHeaders="0" topLeftCell="A3" workbookViewId="0">
      <selection activeCell="J12" sqref="J12"/>
    </sheetView>
  </sheetViews>
  <sheetFormatPr defaultRowHeight="15" x14ac:dyDescent="0.25"/>
  <cols>
    <col min="2" max="2" width="13.7109375" bestFit="1" customWidth="1"/>
    <col min="3" max="3" width="13.7109375" customWidth="1"/>
    <col min="4" max="4" width="14.85546875" bestFit="1" customWidth="1"/>
    <col min="5" max="5" width="45.28515625" customWidth="1"/>
    <col min="6" max="6" width="11.28515625" bestFit="1" customWidth="1"/>
    <col min="11" max="14" width="9.140625" style="159"/>
  </cols>
  <sheetData>
    <row r="1" spans="2:13" hidden="1" x14ac:dyDescent="0.25">
      <c r="L1" s="160"/>
      <c r="M1" s="160"/>
    </row>
    <row r="2" spans="2:13" hidden="1" x14ac:dyDescent="0.25">
      <c r="B2" s="137"/>
      <c r="L2" s="160"/>
      <c r="M2" s="160"/>
    </row>
    <row r="3" spans="2:13" x14ac:dyDescent="0.25">
      <c r="B3" s="137"/>
      <c r="L3" s="160"/>
      <c r="M3" s="160"/>
    </row>
    <row r="4" spans="2:13" x14ac:dyDescent="0.25">
      <c r="B4" s="137"/>
    </row>
    <row r="5" spans="2:13" x14ac:dyDescent="0.25">
      <c r="B5" s="137"/>
    </row>
    <row r="6" spans="2:13" x14ac:dyDescent="0.25">
      <c r="B6" s="137"/>
      <c r="I6" s="1"/>
    </row>
    <row r="7" spans="2:13" ht="18" x14ac:dyDescent="0.25">
      <c r="B7" s="21" t="s">
        <v>302</v>
      </c>
      <c r="C7" s="21" t="s">
        <v>303</v>
      </c>
      <c r="D7" s="21" t="s">
        <v>304</v>
      </c>
      <c r="E7" s="21" t="s">
        <v>83</v>
      </c>
      <c r="F7" s="21" t="s">
        <v>84</v>
      </c>
      <c r="I7" s="1"/>
    </row>
    <row r="8" spans="2:13" ht="15" customHeight="1" x14ac:dyDescent="0.25">
      <c r="B8" s="22">
        <v>1</v>
      </c>
      <c r="C8" s="161"/>
      <c r="D8" s="23">
        <v>1</v>
      </c>
      <c r="E8" s="24" t="s">
        <v>85</v>
      </c>
      <c r="F8" s="25">
        <v>44113</v>
      </c>
      <c r="I8" s="1"/>
    </row>
    <row r="9" spans="2:13" x14ac:dyDescent="0.25">
      <c r="B9" s="22">
        <v>2</v>
      </c>
      <c r="C9" s="161"/>
      <c r="D9" s="23">
        <v>1.1000000000000001</v>
      </c>
      <c r="E9" s="26" t="s">
        <v>86</v>
      </c>
      <c r="F9" s="25">
        <v>44114</v>
      </c>
      <c r="I9" s="1"/>
    </row>
    <row r="10" spans="2:13" ht="42.75" x14ac:dyDescent="0.25">
      <c r="B10" s="22">
        <v>3</v>
      </c>
      <c r="C10" s="161"/>
      <c r="D10" s="23">
        <v>1.2</v>
      </c>
      <c r="E10" s="26" t="s">
        <v>87</v>
      </c>
      <c r="F10" s="25">
        <v>44116</v>
      </c>
      <c r="I10" s="1"/>
    </row>
    <row r="11" spans="2:13" x14ac:dyDescent="0.25">
      <c r="B11" s="22">
        <v>4</v>
      </c>
      <c r="C11" s="161"/>
      <c r="D11" s="23">
        <v>1.3</v>
      </c>
      <c r="E11" s="26" t="s">
        <v>88</v>
      </c>
      <c r="F11" s="25">
        <v>44118</v>
      </c>
      <c r="I11" s="1"/>
    </row>
    <row r="12" spans="2:13" ht="42.75" x14ac:dyDescent="0.25">
      <c r="B12" s="78">
        <v>5</v>
      </c>
      <c r="C12" s="161"/>
      <c r="D12" s="23">
        <v>1.4</v>
      </c>
      <c r="E12" s="26" t="s">
        <v>150</v>
      </c>
      <c r="F12" s="25">
        <v>44123</v>
      </c>
      <c r="I12" s="1"/>
    </row>
    <row r="13" spans="2:13" ht="71.25" x14ac:dyDescent="0.25">
      <c r="B13" s="78">
        <v>6</v>
      </c>
      <c r="C13" s="161"/>
      <c r="D13" s="23">
        <v>1.5</v>
      </c>
      <c r="E13" s="81" t="s">
        <v>208</v>
      </c>
      <c r="F13" s="25">
        <v>44132</v>
      </c>
    </row>
    <row r="14" spans="2:13" ht="28.5" x14ac:dyDescent="0.25">
      <c r="B14" s="78">
        <v>7</v>
      </c>
      <c r="C14" s="161"/>
      <c r="D14" s="23">
        <v>1.6</v>
      </c>
      <c r="E14" s="81" t="s">
        <v>209</v>
      </c>
      <c r="F14" s="25">
        <v>44137</v>
      </c>
    </row>
    <row r="15" spans="2:13" ht="42.75" x14ac:dyDescent="0.25">
      <c r="B15" s="78">
        <v>8</v>
      </c>
      <c r="C15" s="161"/>
      <c r="D15" s="23">
        <v>1.7</v>
      </c>
      <c r="E15" s="81" t="s">
        <v>217</v>
      </c>
      <c r="F15" s="25">
        <v>44141</v>
      </c>
    </row>
    <row r="16" spans="2:13" ht="42.75" x14ac:dyDescent="0.25">
      <c r="B16" s="78">
        <v>9</v>
      </c>
      <c r="C16" s="161"/>
      <c r="D16" s="23">
        <v>1.8</v>
      </c>
      <c r="E16" s="81" t="s">
        <v>252</v>
      </c>
      <c r="F16" s="25">
        <v>44146</v>
      </c>
    </row>
    <row r="17" spans="2:9" ht="28.5" x14ac:dyDescent="0.25">
      <c r="B17" s="78">
        <v>10</v>
      </c>
      <c r="C17" s="161"/>
      <c r="D17" s="23">
        <v>1.9</v>
      </c>
      <c r="E17" s="81" t="s">
        <v>254</v>
      </c>
      <c r="F17" s="25">
        <v>44154</v>
      </c>
    </row>
    <row r="18" spans="2:9" ht="28.5" x14ac:dyDescent="0.25">
      <c r="B18" s="78">
        <v>11</v>
      </c>
      <c r="C18" s="161"/>
      <c r="D18" s="127">
        <v>2</v>
      </c>
      <c r="E18" s="81" t="s">
        <v>263</v>
      </c>
      <c r="F18" s="25">
        <v>44158</v>
      </c>
      <c r="I18" s="1"/>
    </row>
    <row r="19" spans="2:9" ht="57" x14ac:dyDescent="0.25">
      <c r="B19" s="78">
        <v>12</v>
      </c>
      <c r="C19" s="161"/>
      <c r="D19" s="23">
        <v>2.1</v>
      </c>
      <c r="E19" s="81" t="s">
        <v>264</v>
      </c>
      <c r="F19" s="25">
        <v>44159</v>
      </c>
      <c r="I19" s="1"/>
    </row>
    <row r="20" spans="2:9" x14ac:dyDescent="0.25">
      <c r="B20" s="78">
        <v>13</v>
      </c>
      <c r="C20" s="161"/>
      <c r="D20" s="127">
        <v>2.2000000000000002</v>
      </c>
      <c r="E20" s="81" t="s">
        <v>268</v>
      </c>
      <c r="F20" s="25">
        <v>44160</v>
      </c>
      <c r="I20" s="1"/>
    </row>
    <row r="21" spans="2:9" ht="71.25" x14ac:dyDescent="0.25">
      <c r="B21" s="78">
        <v>14</v>
      </c>
      <c r="C21" s="161"/>
      <c r="D21" s="23">
        <v>2.2999999999999998</v>
      </c>
      <c r="E21" s="81" t="s">
        <v>269</v>
      </c>
      <c r="F21" s="25">
        <v>44167</v>
      </c>
    </row>
    <row r="22" spans="2:9" ht="42.75" x14ac:dyDescent="0.25">
      <c r="B22" s="78">
        <v>15</v>
      </c>
      <c r="C22" s="161"/>
      <c r="D22" s="127">
        <v>2.4</v>
      </c>
      <c r="E22" s="81" t="s">
        <v>296</v>
      </c>
      <c r="F22" s="25">
        <v>44174</v>
      </c>
    </row>
    <row r="23" spans="2:9" ht="142.5" x14ac:dyDescent="0.25">
      <c r="B23" s="78">
        <v>16</v>
      </c>
      <c r="C23" s="161"/>
      <c r="D23" s="23">
        <v>2.5</v>
      </c>
      <c r="E23" s="81" t="s">
        <v>291</v>
      </c>
      <c r="F23" s="25">
        <v>44184</v>
      </c>
    </row>
    <row r="24" spans="2:9" x14ac:dyDescent="0.25">
      <c r="B24" s="78">
        <v>17</v>
      </c>
      <c r="C24" s="161"/>
      <c r="D24" s="136">
        <v>2.5099999999999998</v>
      </c>
      <c r="E24" s="81" t="s">
        <v>292</v>
      </c>
      <c r="F24" s="25">
        <v>44202</v>
      </c>
    </row>
    <row r="25" spans="2:9" ht="42.75" x14ac:dyDescent="0.25">
      <c r="B25" s="78">
        <v>18</v>
      </c>
      <c r="C25" s="161"/>
      <c r="D25" s="136">
        <v>2.52</v>
      </c>
      <c r="E25" s="81" t="s">
        <v>294</v>
      </c>
      <c r="F25" s="25">
        <v>44257</v>
      </c>
    </row>
    <row r="26" spans="2:9" x14ac:dyDescent="0.25">
      <c r="B26" s="78">
        <v>19</v>
      </c>
      <c r="C26" s="161"/>
      <c r="D26" s="136">
        <v>2.5299999999999998</v>
      </c>
      <c r="E26" s="81" t="s">
        <v>295</v>
      </c>
      <c r="F26" s="25">
        <v>44260</v>
      </c>
    </row>
    <row r="27" spans="2:9" ht="28.5" x14ac:dyDescent="0.25">
      <c r="B27" s="78">
        <v>20</v>
      </c>
      <c r="C27" s="161"/>
      <c r="D27" s="136">
        <v>2.54</v>
      </c>
      <c r="E27" s="81" t="s">
        <v>297</v>
      </c>
      <c r="F27" s="25">
        <v>44278</v>
      </c>
    </row>
    <row r="28" spans="2:9" ht="28.5" x14ac:dyDescent="0.25">
      <c r="B28" s="78">
        <v>21</v>
      </c>
      <c r="C28" s="161"/>
      <c r="D28" s="136">
        <v>2.5499999999999998</v>
      </c>
      <c r="E28" s="81" t="s">
        <v>298</v>
      </c>
      <c r="F28" s="25">
        <v>44293</v>
      </c>
    </row>
    <row r="29" spans="2:9" ht="28.5" x14ac:dyDescent="0.25">
      <c r="B29" s="78">
        <v>22</v>
      </c>
      <c r="C29" s="161"/>
      <c r="D29" s="136">
        <v>2.56</v>
      </c>
      <c r="E29" s="81" t="s">
        <v>299</v>
      </c>
      <c r="F29" s="25">
        <v>44309</v>
      </c>
    </row>
    <row r="30" spans="2:9" ht="57" x14ac:dyDescent="0.25">
      <c r="B30" s="78">
        <v>23</v>
      </c>
      <c r="C30" s="161"/>
      <c r="D30" s="136">
        <v>2.57</v>
      </c>
      <c r="E30" s="81" t="s">
        <v>300</v>
      </c>
      <c r="F30" s="25">
        <v>44335</v>
      </c>
    </row>
    <row r="31" spans="2:9" ht="85.5" x14ac:dyDescent="0.25">
      <c r="B31" s="78">
        <v>24</v>
      </c>
      <c r="C31" s="161"/>
      <c r="D31" s="136">
        <v>2.58</v>
      </c>
      <c r="E31" s="81" t="s">
        <v>306</v>
      </c>
      <c r="F31" s="25">
        <v>44343</v>
      </c>
    </row>
    <row r="32" spans="2:9" ht="57" x14ac:dyDescent="0.25">
      <c r="B32" s="78">
        <v>25</v>
      </c>
      <c r="C32" s="2"/>
      <c r="D32" s="136">
        <v>2.67</v>
      </c>
      <c r="E32" s="81" t="s">
        <v>355</v>
      </c>
      <c r="F32" s="25">
        <v>44835</v>
      </c>
    </row>
  </sheetData>
  <mergeCells count="1">
    <mergeCell ref="C8:C3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Dent_Analysis">
                <anchor>
                  <from>
                    <xdr:col>6</xdr:col>
                    <xdr:colOff>28575</xdr:colOff>
                    <xdr:row>7</xdr:row>
                    <xdr:rowOff>171450</xdr:rowOff>
                  </from>
                  <to>
                    <xdr:col>9</xdr:col>
                    <xdr:colOff>104775</xdr:colOff>
                    <xdr:row>9</xdr:row>
                    <xdr:rowOff>333375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theme="0" tint="-0.249977111117893"/>
  </sheetPr>
  <dimension ref="A1:F49"/>
  <sheetViews>
    <sheetView showGridLines="0" showRowColHeaders="0" workbookViewId="0">
      <selection activeCell="B9" sqref="B9"/>
    </sheetView>
  </sheetViews>
  <sheetFormatPr defaultRowHeight="15" x14ac:dyDescent="0.25"/>
  <cols>
    <col min="1" max="1" width="46.7109375" bestFit="1" customWidth="1"/>
    <col min="2" max="2" width="14.28515625" bestFit="1" customWidth="1"/>
    <col min="3" max="3" width="10.140625" customWidth="1"/>
    <col min="4" max="4" width="14" customWidth="1"/>
    <col min="6" max="6" width="29" style="6" bestFit="1" customWidth="1"/>
    <col min="7" max="7" width="36.42578125" bestFit="1" customWidth="1"/>
    <col min="8" max="8" width="8.7109375" bestFit="1" customWidth="1"/>
    <col min="9" max="9" width="28.42578125" bestFit="1" customWidth="1"/>
    <col min="10" max="10" width="8.7109375" bestFit="1" customWidth="1"/>
  </cols>
  <sheetData>
    <row r="1" spans="1:6" ht="15.75" x14ac:dyDescent="0.25">
      <c r="A1" s="11" t="s">
        <v>41</v>
      </c>
      <c r="B1" s="29" t="s">
        <v>377</v>
      </c>
    </row>
    <row r="4" spans="1:6" ht="15.75" x14ac:dyDescent="0.25">
      <c r="A4" s="162" t="s">
        <v>36</v>
      </c>
      <c r="B4" s="163"/>
    </row>
    <row r="5" spans="1:6" x14ac:dyDescent="0.25">
      <c r="A5" s="2" t="s">
        <v>26</v>
      </c>
      <c r="B5" s="30" t="s">
        <v>305</v>
      </c>
    </row>
    <row r="6" spans="1:6" x14ac:dyDescent="0.25">
      <c r="A6" s="2" t="s">
        <v>27</v>
      </c>
      <c r="B6" s="30" t="s">
        <v>1</v>
      </c>
    </row>
    <row r="7" spans="1:6" x14ac:dyDescent="0.25">
      <c r="A7" s="2" t="s">
        <v>28</v>
      </c>
      <c r="B7" s="30" t="s">
        <v>3</v>
      </c>
    </row>
    <row r="8" spans="1:6" x14ac:dyDescent="0.25">
      <c r="A8" s="2" t="s">
        <v>29</v>
      </c>
      <c r="B8" s="30" t="s">
        <v>15</v>
      </c>
    </row>
    <row r="9" spans="1:6" x14ac:dyDescent="0.25">
      <c r="A9" s="4" t="s">
        <v>67</v>
      </c>
      <c r="B9" s="82">
        <f>Tensile_Compressive_Load(Database[],27,Airplane,Engine,Lipskin)</f>
        <v>80000</v>
      </c>
    </row>
    <row r="10" spans="1:6" ht="15.75" customHeight="1" x14ac:dyDescent="0.25"/>
    <row r="11" spans="1:6" ht="15.75" x14ac:dyDescent="0.25">
      <c r="A11" s="165" t="s">
        <v>35</v>
      </c>
      <c r="B11" s="165"/>
      <c r="C11" s="165"/>
      <c r="F11" s="7"/>
    </row>
    <row r="12" spans="1:6" ht="15.75" x14ac:dyDescent="0.25">
      <c r="A12" s="27" t="s">
        <v>20</v>
      </c>
      <c r="B12" s="27" t="s">
        <v>25</v>
      </c>
      <c r="C12" s="27" t="s">
        <v>54</v>
      </c>
      <c r="F12"/>
    </row>
    <row r="13" spans="1:6" x14ac:dyDescent="0.25">
      <c r="A13" s="2" t="s">
        <v>30</v>
      </c>
      <c r="B13" s="82">
        <f>Tensile_Compressive_Load(Database[],12,Airplane,Engine,Lipskin)</f>
        <v>59000</v>
      </c>
      <c r="C13" s="28" t="s">
        <v>56</v>
      </c>
      <c r="F13" s="8"/>
    </row>
    <row r="14" spans="1:6" x14ac:dyDescent="0.25">
      <c r="A14" s="2" t="s">
        <v>204</v>
      </c>
      <c r="B14" s="82">
        <f>Tensile_Compressive_Load(Database[],14,Airplane,Engine,Lipskin)</f>
        <v>36000</v>
      </c>
      <c r="C14" s="28" t="s">
        <v>56</v>
      </c>
      <c r="F14" s="8"/>
    </row>
    <row r="15" spans="1:6" x14ac:dyDescent="0.25">
      <c r="A15" s="2" t="s">
        <v>31</v>
      </c>
      <c r="B15" s="10">
        <f>Tensile_Compressive_Load(Database[],15,Airplane,Engine,Lipskin)</f>
        <v>7.0000000000000007E-2</v>
      </c>
      <c r="C15" s="28"/>
      <c r="F15" s="8"/>
    </row>
    <row r="16" spans="1:6" x14ac:dyDescent="0.25">
      <c r="A16" s="2" t="s">
        <v>308</v>
      </c>
      <c r="B16" s="82">
        <f>Tensile_Compressive_Load(Database[],13,Airplane,Engine,Lipskin)</f>
        <v>37000</v>
      </c>
      <c r="C16" s="28" t="s">
        <v>56</v>
      </c>
      <c r="F16" s="8"/>
    </row>
    <row r="17" spans="1:6" x14ac:dyDescent="0.25">
      <c r="A17" s="4" t="s">
        <v>48</v>
      </c>
      <c r="B17" s="82">
        <f>Tensile_Compressive_Load(Database[],16,Airplane,Engine,Lipskin)</f>
        <v>10800000</v>
      </c>
      <c r="C17" s="28" t="s">
        <v>56</v>
      </c>
      <c r="F17" s="8"/>
    </row>
    <row r="18" spans="1:6" x14ac:dyDescent="0.25">
      <c r="A18" s="4" t="s">
        <v>50</v>
      </c>
      <c r="B18" s="82">
        <f>Tensile_Compressive_Load(Database[],11,Airplane,Engine,Lipskin)</f>
        <v>0.33</v>
      </c>
      <c r="C18" s="28"/>
      <c r="F18" s="8"/>
    </row>
    <row r="19" spans="1:6" x14ac:dyDescent="0.25">
      <c r="A19" s="2" t="s">
        <v>32</v>
      </c>
      <c r="B19" s="82">
        <f>Tensile_Compressive_Load(Database[],23,Airplane,Engine,Lipskin)</f>
        <v>7100</v>
      </c>
      <c r="C19" s="28" t="s">
        <v>56</v>
      </c>
      <c r="F19" s="8"/>
    </row>
    <row r="20" spans="1:6" x14ac:dyDescent="0.25">
      <c r="A20" s="2" t="s">
        <v>33</v>
      </c>
      <c r="B20" s="82">
        <f>Tensile_Compressive_Load(Database[],24,Airplane,Engine,Lipskin)</f>
        <v>-6000</v>
      </c>
      <c r="C20" s="28" t="s">
        <v>56</v>
      </c>
      <c r="F20" s="8"/>
    </row>
    <row r="21" spans="1:6" x14ac:dyDescent="0.25">
      <c r="A21" s="2" t="s">
        <v>34</v>
      </c>
      <c r="B21" s="3">
        <f>MAX(ABS(MaximumPrincipalStress),ABS(MinimumPrincipalStress))</f>
        <v>7100</v>
      </c>
      <c r="C21" s="28" t="s">
        <v>56</v>
      </c>
      <c r="F21" s="8"/>
    </row>
    <row r="22" spans="1:6" x14ac:dyDescent="0.25">
      <c r="A22" s="2" t="s">
        <v>82</v>
      </c>
      <c r="B22" s="82">
        <f>Tensile_Compressive_Load(Database[],18,Airplane,Engine,Lipskin)</f>
        <v>0.4</v>
      </c>
      <c r="C22" s="28"/>
      <c r="F22" s="8"/>
    </row>
    <row r="23" spans="1:6" x14ac:dyDescent="0.25">
      <c r="A23" s="4" t="s">
        <v>344</v>
      </c>
      <c r="B23" s="30"/>
      <c r="C23" s="28" t="s">
        <v>55</v>
      </c>
      <c r="D23" s="164" t="s">
        <v>51</v>
      </c>
      <c r="F23" s="8"/>
    </row>
    <row r="24" spans="1:6" x14ac:dyDescent="0.25">
      <c r="A24" s="2" t="s">
        <v>42</v>
      </c>
      <c r="B24" s="30"/>
      <c r="C24" s="28" t="s">
        <v>55</v>
      </c>
      <c r="D24" s="164"/>
      <c r="F24" s="8"/>
    </row>
    <row r="25" spans="1:6" x14ac:dyDescent="0.25">
      <c r="A25" s="2" t="s">
        <v>43</v>
      </c>
      <c r="B25" s="30"/>
      <c r="C25" s="28" t="s">
        <v>55</v>
      </c>
      <c r="D25" s="164"/>
      <c r="F25" s="8"/>
    </row>
    <row r="26" spans="1:6" x14ac:dyDescent="0.25">
      <c r="A26" s="2" t="s">
        <v>44</v>
      </c>
      <c r="B26" s="30"/>
      <c r="C26" s="28" t="s">
        <v>55</v>
      </c>
      <c r="D26" s="164"/>
      <c r="F26" s="8"/>
    </row>
    <row r="27" spans="1:6" x14ac:dyDescent="0.25">
      <c r="A27" s="2" t="s">
        <v>24</v>
      </c>
      <c r="B27" s="82" t="str">
        <f>IF(Dentselected="Multiple Dents","",Tensile_Compressive_Load(Database[],6,Airplane,Engine,Lipskin))</f>
        <v/>
      </c>
      <c r="C27" s="28" t="s">
        <v>55</v>
      </c>
      <c r="F27" s="8"/>
    </row>
    <row r="28" spans="1:6" x14ac:dyDescent="0.25">
      <c r="A28" s="4" t="s">
        <v>53</v>
      </c>
      <c r="B28" s="70">
        <f>B23</f>
        <v>0</v>
      </c>
      <c r="C28" s="28" t="s">
        <v>55</v>
      </c>
      <c r="F28" s="8"/>
    </row>
    <row r="29" spans="1:6" x14ac:dyDescent="0.25">
      <c r="A29" s="4" t="s">
        <v>64</v>
      </c>
      <c r="B29" s="82">
        <f>Tensile_Compressive_Load(Database[],10,Airplane,Engine,Lipskin)</f>
        <v>18</v>
      </c>
      <c r="C29" s="28" t="s">
        <v>55</v>
      </c>
      <c r="F29" s="8"/>
    </row>
    <row r="30" spans="1:6" ht="15.75" x14ac:dyDescent="0.25">
      <c r="A30" s="165" t="s">
        <v>17</v>
      </c>
      <c r="B30" s="165"/>
      <c r="C30" s="165"/>
      <c r="F30" s="8"/>
    </row>
    <row r="31" spans="1:6" ht="15.75" x14ac:dyDescent="0.25">
      <c r="A31" s="12" t="s">
        <v>20</v>
      </c>
      <c r="B31" s="12" t="s">
        <v>25</v>
      </c>
      <c r="C31" s="12" t="s">
        <v>54</v>
      </c>
      <c r="F31" s="8"/>
    </row>
    <row r="32" spans="1:6" ht="15" customHeight="1" x14ac:dyDescent="0.25">
      <c r="A32" s="2" t="s">
        <v>342</v>
      </c>
      <c r="B32" s="30">
        <v>3.5</v>
      </c>
      <c r="C32" s="13" t="s">
        <v>55</v>
      </c>
      <c r="D32" s="164" t="s">
        <v>52</v>
      </c>
      <c r="F32" s="8"/>
    </row>
    <row r="33" spans="1:6" ht="30.75" customHeight="1" x14ac:dyDescent="0.25">
      <c r="A33" s="14" t="s">
        <v>345</v>
      </c>
      <c r="B33" s="30">
        <v>2</v>
      </c>
      <c r="C33" s="13" t="s">
        <v>55</v>
      </c>
      <c r="D33" s="164"/>
      <c r="F33" s="8"/>
    </row>
    <row r="34" spans="1:6" x14ac:dyDescent="0.25">
      <c r="A34" s="2" t="s">
        <v>21</v>
      </c>
      <c r="B34" s="30">
        <v>2</v>
      </c>
      <c r="C34" s="13" t="s">
        <v>55</v>
      </c>
      <c r="D34" s="164"/>
      <c r="F34" s="8"/>
    </row>
    <row r="35" spans="1:6" x14ac:dyDescent="0.25">
      <c r="A35" s="2" t="s">
        <v>22</v>
      </c>
      <c r="B35" s="30">
        <v>1.5</v>
      </c>
      <c r="C35" s="13" t="s">
        <v>55</v>
      </c>
      <c r="D35" s="164"/>
      <c r="F35" s="8"/>
    </row>
    <row r="36" spans="1:6" x14ac:dyDescent="0.25">
      <c r="A36" s="2" t="s">
        <v>23</v>
      </c>
      <c r="B36" s="30">
        <v>2.5000000000000001E-2</v>
      </c>
      <c r="C36" s="13" t="s">
        <v>55</v>
      </c>
      <c r="D36" s="164"/>
      <c r="F36" s="8"/>
    </row>
    <row r="37" spans="1:6" x14ac:dyDescent="0.25">
      <c r="A37" s="2" t="s">
        <v>38</v>
      </c>
      <c r="B37" s="30">
        <v>2.5</v>
      </c>
      <c r="C37" s="13" t="s">
        <v>55</v>
      </c>
      <c r="D37" s="164"/>
      <c r="F37" s="8"/>
    </row>
    <row r="38" spans="1:6" x14ac:dyDescent="0.25">
      <c r="A38" s="2" t="s">
        <v>39</v>
      </c>
      <c r="B38" s="30">
        <v>1.5</v>
      </c>
      <c r="C38" s="13" t="s">
        <v>55</v>
      </c>
      <c r="D38" s="164"/>
      <c r="F38" s="8"/>
    </row>
    <row r="39" spans="1:6" x14ac:dyDescent="0.25">
      <c r="A39" s="2" t="s">
        <v>40</v>
      </c>
      <c r="B39" s="30">
        <v>0.18</v>
      </c>
      <c r="C39" s="13" t="s">
        <v>55</v>
      </c>
      <c r="D39" s="164"/>
      <c r="F39" s="8"/>
    </row>
    <row r="40" spans="1:6" x14ac:dyDescent="0.25">
      <c r="A40" s="2" t="s">
        <v>24</v>
      </c>
      <c r="B40" s="13">
        <f>IF(Dentselected="Multiple Dents",Tensile_Compressive_Load(Database[],6,Airplane,Engine,Lipskin),"")</f>
        <v>7.1999999999999995E-2</v>
      </c>
      <c r="C40" s="13" t="s">
        <v>55</v>
      </c>
    </row>
    <row r="41" spans="1:6" x14ac:dyDescent="0.25">
      <c r="A41" s="5"/>
      <c r="B41" s="5"/>
    </row>
    <row r="45" spans="1:6" x14ac:dyDescent="0.25">
      <c r="C45" s="20"/>
    </row>
    <row r="46" spans="1:6" x14ac:dyDescent="0.25">
      <c r="C46" s="20"/>
    </row>
    <row r="47" spans="1:6" x14ac:dyDescent="0.25">
      <c r="C47" s="20"/>
    </row>
    <row r="48" spans="1:6" x14ac:dyDescent="0.25">
      <c r="C48" s="20"/>
    </row>
    <row r="49" spans="3:3" x14ac:dyDescent="0.25">
      <c r="C49" s="20"/>
    </row>
  </sheetData>
  <sheetProtection selectLockedCells="1"/>
  <mergeCells count="5">
    <mergeCell ref="A4:B4"/>
    <mergeCell ref="D23:D26"/>
    <mergeCell ref="D32:D39"/>
    <mergeCell ref="A11:C11"/>
    <mergeCell ref="A30:C30"/>
  </mergeCell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0"/>
  </sheetPr>
  <dimension ref="A1:K148"/>
  <sheetViews>
    <sheetView zoomScaleNormal="100" workbookViewId="0">
      <selection activeCell="B128" sqref="B128"/>
    </sheetView>
  </sheetViews>
  <sheetFormatPr defaultRowHeight="15" x14ac:dyDescent="0.25"/>
  <cols>
    <col min="1" max="1" width="30.42578125" customWidth="1"/>
    <col min="2" max="2" width="42.85546875" customWidth="1"/>
    <col min="3" max="3" width="12" bestFit="1" customWidth="1"/>
    <col min="4" max="4" width="10" customWidth="1"/>
    <col min="6" max="6" width="42" customWidth="1"/>
    <col min="7" max="7" width="15.42578125" customWidth="1"/>
  </cols>
  <sheetData>
    <row r="1" spans="1:3" x14ac:dyDescent="0.25">
      <c r="A1" s="96" t="s">
        <v>41</v>
      </c>
      <c r="B1" s="69" t="str">
        <f>Dentselected</f>
        <v>Multiple Dents</v>
      </c>
    </row>
    <row r="2" spans="1:3" x14ac:dyDescent="0.25">
      <c r="A2" s="96" t="s">
        <v>26</v>
      </c>
      <c r="B2" s="69" t="str">
        <f>CVLogCase</f>
        <v>CV20-00032</v>
      </c>
    </row>
    <row r="3" spans="1:3" x14ac:dyDescent="0.25">
      <c r="A3" s="96" t="s">
        <v>27</v>
      </c>
      <c r="B3" s="69" t="str">
        <f>Airplane</f>
        <v>A320</v>
      </c>
    </row>
    <row r="4" spans="1:3" x14ac:dyDescent="0.25">
      <c r="A4" s="96" t="s">
        <v>28</v>
      </c>
      <c r="B4" s="69" t="str">
        <f>Engine</f>
        <v>CFM56-5B</v>
      </c>
    </row>
    <row r="5" spans="1:3" x14ac:dyDescent="0.25">
      <c r="A5" s="96" t="s">
        <v>29</v>
      </c>
      <c r="B5" s="69" t="str">
        <f>Lipskin</f>
        <v>Outer Lip Skin</v>
      </c>
    </row>
    <row r="7" spans="1:3" ht="15.75" customHeight="1" x14ac:dyDescent="0.25">
      <c r="A7" s="162" t="s">
        <v>148</v>
      </c>
      <c r="B7" s="166"/>
      <c r="C7" s="166"/>
    </row>
    <row r="8" spans="1:3" x14ac:dyDescent="0.25">
      <c r="A8" s="96" t="s">
        <v>342</v>
      </c>
      <c r="B8" s="3">
        <f>Inputs!B32</f>
        <v>3.5</v>
      </c>
      <c r="C8" s="28" t="s">
        <v>55</v>
      </c>
    </row>
    <row r="9" spans="1:3" ht="30" x14ac:dyDescent="0.25">
      <c r="A9" s="96" t="s">
        <v>343</v>
      </c>
      <c r="B9" s="3">
        <f>Inputs!B33</f>
        <v>2</v>
      </c>
      <c r="C9" s="28" t="s">
        <v>55</v>
      </c>
    </row>
    <row r="10" spans="1:3" x14ac:dyDescent="0.25">
      <c r="A10" s="96" t="s">
        <v>21</v>
      </c>
      <c r="B10" s="3">
        <f>Inputs!B34</f>
        <v>2</v>
      </c>
      <c r="C10" s="28" t="s">
        <v>55</v>
      </c>
    </row>
    <row r="11" spans="1:3" x14ac:dyDescent="0.25">
      <c r="A11" s="96" t="s">
        <v>22</v>
      </c>
      <c r="B11" s="3">
        <f>Inputs!B35</f>
        <v>1.5</v>
      </c>
      <c r="C11" s="28" t="s">
        <v>55</v>
      </c>
    </row>
    <row r="12" spans="1:3" x14ac:dyDescent="0.25">
      <c r="A12" s="96" t="s">
        <v>23</v>
      </c>
      <c r="B12" s="3">
        <f>Inputs!B36</f>
        <v>2.5000000000000001E-2</v>
      </c>
      <c r="C12" s="28" t="s">
        <v>55</v>
      </c>
    </row>
    <row r="13" spans="1:3" x14ac:dyDescent="0.25">
      <c r="A13" s="96" t="s">
        <v>38</v>
      </c>
      <c r="B13" s="3">
        <f>Inputs!B37</f>
        <v>2.5</v>
      </c>
      <c r="C13" s="28" t="s">
        <v>55</v>
      </c>
    </row>
    <row r="14" spans="1:3" x14ac:dyDescent="0.25">
      <c r="A14" s="96" t="s">
        <v>39</v>
      </c>
      <c r="B14" s="3">
        <f>Inputs!B38</f>
        <v>1.5</v>
      </c>
      <c r="C14" s="28" t="s">
        <v>55</v>
      </c>
    </row>
    <row r="15" spans="1:3" x14ac:dyDescent="0.25">
      <c r="A15" s="96" t="s">
        <v>40</v>
      </c>
      <c r="B15" s="3">
        <f>Inputs!B39</f>
        <v>0.18</v>
      </c>
      <c r="C15" s="28" t="s">
        <v>55</v>
      </c>
    </row>
    <row r="16" spans="1:3" x14ac:dyDescent="0.25">
      <c r="A16" s="90" t="s">
        <v>156</v>
      </c>
      <c r="B16" s="28">
        <f>Inputs!B40</f>
        <v>7.1999999999999995E-2</v>
      </c>
      <c r="C16" s="28" t="s">
        <v>55</v>
      </c>
    </row>
    <row r="17" spans="1:9" x14ac:dyDescent="0.25">
      <c r="A17" s="96" t="s">
        <v>64</v>
      </c>
      <c r="B17" s="71">
        <f>Panelsize</f>
        <v>18</v>
      </c>
      <c r="C17" s="28" t="s">
        <v>55</v>
      </c>
    </row>
    <row r="19" spans="1:9" ht="15.75" customHeight="1" x14ac:dyDescent="0.25">
      <c r="A19" s="162" t="s">
        <v>149</v>
      </c>
      <c r="B19" s="166"/>
      <c r="C19" s="166"/>
    </row>
    <row r="20" spans="1:9" ht="30" x14ac:dyDescent="0.25">
      <c r="A20" s="76" t="s">
        <v>366</v>
      </c>
      <c r="B20" s="154">
        <f>Inputs!B23</f>
        <v>0</v>
      </c>
      <c r="C20" s="154" t="s">
        <v>55</v>
      </c>
      <c r="D20" s="80"/>
    </row>
    <row r="21" spans="1:9" x14ac:dyDescent="0.25">
      <c r="A21" s="76" t="s">
        <v>42</v>
      </c>
      <c r="B21" s="154">
        <f>Inputs!B24</f>
        <v>0</v>
      </c>
      <c r="C21" s="154" t="s">
        <v>55</v>
      </c>
    </row>
    <row r="22" spans="1:9" x14ac:dyDescent="0.25">
      <c r="A22" s="76" t="s">
        <v>43</v>
      </c>
      <c r="B22" s="154">
        <f>Inputs!B25</f>
        <v>0</v>
      </c>
      <c r="C22" s="154" t="s">
        <v>55</v>
      </c>
    </row>
    <row r="23" spans="1:9" x14ac:dyDescent="0.25">
      <c r="A23" s="77" t="s">
        <v>360</v>
      </c>
      <c r="B23" s="2"/>
      <c r="C23" s="154" t="s">
        <v>55</v>
      </c>
    </row>
    <row r="24" spans="1:9" x14ac:dyDescent="0.25">
      <c r="A24" s="76" t="s">
        <v>44</v>
      </c>
      <c r="B24" s="154">
        <f>Inputs!B26</f>
        <v>0</v>
      </c>
      <c r="C24" s="154" t="s">
        <v>55</v>
      </c>
    </row>
    <row r="25" spans="1:9" x14ac:dyDescent="0.25">
      <c r="A25" s="76" t="s">
        <v>156</v>
      </c>
      <c r="B25" s="154" t="str">
        <f>Inputs!B27</f>
        <v/>
      </c>
      <c r="C25" s="154" t="s">
        <v>55</v>
      </c>
    </row>
    <row r="26" spans="1:9" x14ac:dyDescent="0.25">
      <c r="A26" s="76" t="s">
        <v>64</v>
      </c>
      <c r="B26" s="71">
        <f>Panelsize</f>
        <v>18</v>
      </c>
      <c r="C26" s="154" t="s">
        <v>55</v>
      </c>
    </row>
    <row r="28" spans="1:9" ht="15.75" x14ac:dyDescent="0.25">
      <c r="A28" s="165" t="s">
        <v>146</v>
      </c>
      <c r="B28" s="165"/>
      <c r="C28" s="165"/>
      <c r="D28" s="165"/>
      <c r="F28" s="165" t="s">
        <v>253</v>
      </c>
      <c r="G28" s="165"/>
      <c r="H28" s="165"/>
      <c r="I28" s="165"/>
    </row>
    <row r="29" spans="1:9" x14ac:dyDescent="0.25">
      <c r="A29" s="76" t="s">
        <v>99</v>
      </c>
      <c r="B29" s="100" t="s">
        <v>361</v>
      </c>
      <c r="C29" s="79"/>
      <c r="D29" s="28" t="s">
        <v>56</v>
      </c>
      <c r="F29" s="72" t="s">
        <v>91</v>
      </c>
      <c r="G29" s="82" t="s">
        <v>94</v>
      </c>
      <c r="H29" s="1">
        <f>Tensile_Compressive_Load(Database[],29,Airplane,Engine,Lipskin)</f>
        <v>55000</v>
      </c>
      <c r="I29" s="82" t="s">
        <v>56</v>
      </c>
    </row>
    <row r="30" spans="1:9" x14ac:dyDescent="0.25">
      <c r="A30" s="76" t="s">
        <v>100</v>
      </c>
      <c r="B30" s="100" t="s">
        <v>12</v>
      </c>
      <c r="C30" s="79"/>
      <c r="D30" s="28"/>
      <c r="F30" s="2" t="s">
        <v>271</v>
      </c>
      <c r="G30" s="82" t="s">
        <v>272</v>
      </c>
      <c r="H30" s="82">
        <f>UltimateTensileAllowable</f>
        <v>59000</v>
      </c>
      <c r="I30" s="82" t="s">
        <v>56</v>
      </c>
    </row>
    <row r="31" spans="1:9" x14ac:dyDescent="0.25">
      <c r="A31" s="76" t="s">
        <v>101</v>
      </c>
      <c r="B31" s="100" t="s">
        <v>362</v>
      </c>
      <c r="C31" s="79"/>
      <c r="D31" s="28" t="s">
        <v>56</v>
      </c>
      <c r="E31" s="9"/>
      <c r="F31" s="72" t="s">
        <v>92</v>
      </c>
      <c r="G31" s="82" t="s">
        <v>95</v>
      </c>
      <c r="H31" s="82">
        <f>YieldTensileAllowable</f>
        <v>36000</v>
      </c>
      <c r="I31" s="82" t="s">
        <v>56</v>
      </c>
    </row>
    <row r="32" spans="1:9" ht="18" x14ac:dyDescent="0.25">
      <c r="A32" s="76" t="s">
        <v>102</v>
      </c>
      <c r="B32" s="100" t="s">
        <v>130</v>
      </c>
      <c r="C32" s="79"/>
      <c r="D32" s="28" t="s">
        <v>56</v>
      </c>
      <c r="F32" s="72" t="s">
        <v>152</v>
      </c>
      <c r="G32" s="82" t="s">
        <v>96</v>
      </c>
      <c r="H32" s="82">
        <f>UltimateStrainAllowable</f>
        <v>7.0000000000000007E-2</v>
      </c>
      <c r="I32" s="82" t="s">
        <v>153</v>
      </c>
    </row>
    <row r="33" spans="1:11" ht="30.75" customHeight="1" x14ac:dyDescent="0.25">
      <c r="A33" s="76" t="s">
        <v>363</v>
      </c>
      <c r="B33" s="85"/>
      <c r="C33" s="79"/>
      <c r="D33" s="28" t="s">
        <v>56</v>
      </c>
      <c r="F33" s="75" t="s">
        <v>151</v>
      </c>
      <c r="G33" s="82" t="s">
        <v>37</v>
      </c>
      <c r="H33" s="82">
        <f>UltimateComprAllowable</f>
        <v>37000</v>
      </c>
      <c r="I33" s="82" t="s">
        <v>56</v>
      </c>
    </row>
    <row r="34" spans="1:11" ht="30.75" customHeight="1" x14ac:dyDescent="0.25">
      <c r="A34" s="76" t="s">
        <v>174</v>
      </c>
      <c r="B34" s="107"/>
      <c r="C34" s="79"/>
      <c r="D34" s="74" t="s">
        <v>89</v>
      </c>
      <c r="F34" s="75" t="s">
        <v>356</v>
      </c>
      <c r="G34" s="155" t="s">
        <v>357</v>
      </c>
      <c r="H34" s="156">
        <f>Tensile_Compressive_Load(Database[],30,Airplane,Engine,Lipskin)</f>
        <v>56527.777777777774</v>
      </c>
      <c r="I34" s="154" t="s">
        <v>56</v>
      </c>
    </row>
    <row r="35" spans="1:11" ht="48" customHeight="1" x14ac:dyDescent="0.25">
      <c r="A35" s="76" t="s">
        <v>177</v>
      </c>
      <c r="B35" s="85"/>
      <c r="C35" s="79"/>
      <c r="D35" s="74" t="s">
        <v>90</v>
      </c>
      <c r="F35" s="73" t="s">
        <v>97</v>
      </c>
      <c r="G35" s="121" t="s">
        <v>47</v>
      </c>
      <c r="H35" s="82">
        <f>YoungsModulous</f>
        <v>10800000</v>
      </c>
      <c r="I35" s="82" t="s">
        <v>56</v>
      </c>
    </row>
    <row r="36" spans="1:11" ht="33" customHeight="1" x14ac:dyDescent="0.25">
      <c r="A36" s="76" t="s">
        <v>175</v>
      </c>
      <c r="B36" s="85"/>
      <c r="C36" s="79"/>
      <c r="D36" s="28" t="s">
        <v>56</v>
      </c>
      <c r="F36" s="73" t="s">
        <v>98</v>
      </c>
      <c r="G36" s="121" t="s">
        <v>93</v>
      </c>
      <c r="H36" s="82">
        <f>PoissonRatio</f>
        <v>0.33</v>
      </c>
      <c r="I36" s="82"/>
    </row>
    <row r="37" spans="1:11" ht="33.75" customHeight="1" x14ac:dyDescent="0.25">
      <c r="A37" s="76" t="s">
        <v>176</v>
      </c>
      <c r="B37" s="85"/>
      <c r="C37" s="79"/>
      <c r="D37" s="2"/>
      <c r="F37" s="72" t="s">
        <v>210</v>
      </c>
      <c r="G37" s="82" t="s">
        <v>154</v>
      </c>
      <c r="H37" s="10">
        <f>TRF</f>
        <v>0.4</v>
      </c>
      <c r="I37" s="82"/>
    </row>
    <row r="38" spans="1:11" ht="30" customHeight="1" x14ac:dyDescent="0.25">
      <c r="F38" s="72" t="s">
        <v>211</v>
      </c>
      <c r="G38" s="82" t="s">
        <v>76</v>
      </c>
      <c r="H38" s="82">
        <f>Tensile_Compressive_Load(Database[],19,Airplane,Engine,Lipskin)</f>
        <v>0.436</v>
      </c>
      <c r="I38" s="82"/>
    </row>
    <row r="39" spans="1:11" ht="30" customHeight="1" x14ac:dyDescent="0.25">
      <c r="F39" s="72" t="s">
        <v>358</v>
      </c>
      <c r="G39" s="154" t="s">
        <v>359</v>
      </c>
      <c r="H39" s="10">
        <f>TRF</f>
        <v>0.4</v>
      </c>
      <c r="I39" s="154"/>
    </row>
    <row r="40" spans="1:11" ht="15.75" customHeight="1" x14ac:dyDescent="0.25">
      <c r="A40" s="165" t="s">
        <v>145</v>
      </c>
      <c r="B40" s="165"/>
      <c r="C40" s="165"/>
      <c r="D40" s="165"/>
      <c r="F40" s="167" t="s">
        <v>155</v>
      </c>
      <c r="G40" s="168"/>
      <c r="H40" s="168"/>
      <c r="I40" s="169"/>
    </row>
    <row r="41" spans="1:11" ht="30" x14ac:dyDescent="0.25">
      <c r="A41" s="76" t="s">
        <v>99</v>
      </c>
      <c r="B41" s="100" t="s">
        <v>361</v>
      </c>
      <c r="C41" s="79"/>
      <c r="D41" s="28" t="s">
        <v>56</v>
      </c>
      <c r="F41" s="75" t="str">
        <f>IF(Tensile_Compressive_Load(Database[],4,Airplane,Engine,Lipskin)="","",Tensile_Compressive_Load(Database[],4,Airplane,Engine,Lipskin))</f>
        <v>DRT23000 - Max T/O, M=0.45, ALT=0.0FT, HOT DAY, A/I BURST DUCT in D-duct, 530°F</v>
      </c>
      <c r="G41" s="28"/>
      <c r="H41" s="28">
        <f>MaximumPrincipalStress</f>
        <v>7100</v>
      </c>
      <c r="I41" s="28" t="s">
        <v>56</v>
      </c>
    </row>
    <row r="42" spans="1:11" ht="27.75" customHeight="1" x14ac:dyDescent="0.25">
      <c r="A42" s="76" t="s">
        <v>100</v>
      </c>
      <c r="B42" s="100" t="s">
        <v>12</v>
      </c>
      <c r="C42" s="79"/>
      <c r="D42" s="28"/>
      <c r="F42" s="75" t="str">
        <f>IF(Tensile_Compressive_Load(Database[],5,Airplane,Engine,Lipskin)="","",Tensile_Compressive_Load(Database[],5,Airplane,Engine,Lipskin))</f>
        <v>DRT23000 - Max T/O, M=0.45, ALT=0.0FT, HOT DAY, A/I BURST DUCT in D-duct, 530°F</v>
      </c>
      <c r="G42" s="28"/>
      <c r="H42" s="28">
        <f>MinimumPrincipalStress</f>
        <v>-6000</v>
      </c>
      <c r="I42" s="82" t="s">
        <v>56</v>
      </c>
    </row>
    <row r="43" spans="1:11" ht="18" x14ac:dyDescent="0.35">
      <c r="A43" s="76" t="s">
        <v>101</v>
      </c>
      <c r="B43" s="100" t="s">
        <v>362</v>
      </c>
      <c r="C43" s="79"/>
      <c r="D43" s="28" t="s">
        <v>56</v>
      </c>
      <c r="F43" s="89" t="s">
        <v>191</v>
      </c>
      <c r="G43" s="101" t="s">
        <v>194</v>
      </c>
      <c r="H43" s="82">
        <f>Tensile_Compressive_Load(Database[],25,Airplane,Engine,Lipskin)</f>
        <v>6580</v>
      </c>
      <c r="I43" s="82" t="s">
        <v>56</v>
      </c>
    </row>
    <row r="44" spans="1:11" ht="18" x14ac:dyDescent="0.35">
      <c r="A44" s="76" t="s">
        <v>102</v>
      </c>
      <c r="B44" s="100" t="s">
        <v>130</v>
      </c>
      <c r="C44" s="79"/>
      <c r="D44" s="28" t="s">
        <v>56</v>
      </c>
      <c r="F44" s="2" t="s">
        <v>192</v>
      </c>
      <c r="G44" s="101" t="s">
        <v>193</v>
      </c>
      <c r="H44" s="82">
        <f>Tensile_Compressive_Load(Database[],26,Airplane,Engine,Lipskin)</f>
        <v>-700</v>
      </c>
      <c r="I44" s="82" t="s">
        <v>56</v>
      </c>
    </row>
    <row r="45" spans="1:11" ht="30.75" customHeight="1" thickBot="1" x14ac:dyDescent="0.3">
      <c r="A45" s="76" t="s">
        <v>173</v>
      </c>
      <c r="B45" s="85"/>
      <c r="C45" s="79"/>
      <c r="D45" s="2"/>
    </row>
    <row r="46" spans="1:11" ht="35.1" customHeight="1" x14ac:dyDescent="0.25">
      <c r="A46" s="75" t="s">
        <v>363</v>
      </c>
      <c r="B46" s="85"/>
      <c r="C46" s="79"/>
      <c r="D46" s="28" t="s">
        <v>56</v>
      </c>
      <c r="F46" s="170"/>
      <c r="G46" s="171"/>
      <c r="H46" s="171"/>
      <c r="I46" s="171"/>
      <c r="J46" s="171"/>
      <c r="K46" s="172"/>
    </row>
    <row r="47" spans="1:11" ht="33" x14ac:dyDescent="0.25">
      <c r="A47" s="76" t="s">
        <v>174</v>
      </c>
      <c r="B47" s="85"/>
      <c r="C47" s="79"/>
      <c r="D47" s="74" t="s">
        <v>89</v>
      </c>
      <c r="F47" s="173"/>
      <c r="G47" s="174"/>
      <c r="H47" s="174"/>
      <c r="I47" s="174"/>
      <c r="J47" s="174"/>
      <c r="K47" s="175"/>
    </row>
    <row r="48" spans="1:11" ht="52.5" customHeight="1" x14ac:dyDescent="0.25">
      <c r="A48" s="76" t="s">
        <v>177</v>
      </c>
      <c r="B48" s="92"/>
      <c r="C48" s="79"/>
      <c r="D48" s="74" t="s">
        <v>90</v>
      </c>
      <c r="F48" s="173"/>
      <c r="G48" s="174"/>
      <c r="H48" s="174"/>
      <c r="I48" s="174"/>
      <c r="J48" s="174"/>
      <c r="K48" s="175"/>
    </row>
    <row r="49" spans="1:11" ht="47.25" customHeight="1" x14ac:dyDescent="0.25">
      <c r="A49" s="76" t="s">
        <v>178</v>
      </c>
      <c r="B49" s="85"/>
      <c r="C49" s="79"/>
      <c r="D49" s="28" t="s">
        <v>56</v>
      </c>
      <c r="F49" s="173"/>
      <c r="G49" s="174"/>
      <c r="H49" s="174"/>
      <c r="I49" s="174"/>
      <c r="J49" s="174"/>
      <c r="K49" s="175"/>
    </row>
    <row r="50" spans="1:11" ht="43.5" customHeight="1" x14ac:dyDescent="0.25">
      <c r="A50" s="76" t="s">
        <v>179</v>
      </c>
      <c r="B50" s="85"/>
      <c r="C50" s="79"/>
      <c r="D50" s="2"/>
      <c r="F50" s="173"/>
      <c r="G50" s="174"/>
      <c r="H50" s="174"/>
      <c r="I50" s="174"/>
      <c r="J50" s="174"/>
      <c r="K50" s="175"/>
    </row>
    <row r="51" spans="1:11" ht="31.5" customHeight="1" x14ac:dyDescent="0.25">
      <c r="A51" s="15"/>
      <c r="F51" s="173"/>
      <c r="G51" s="174"/>
      <c r="H51" s="174"/>
      <c r="I51" s="174"/>
      <c r="J51" s="174"/>
      <c r="K51" s="175"/>
    </row>
    <row r="52" spans="1:11" ht="31.5" customHeight="1" x14ac:dyDescent="0.25">
      <c r="A52" s="15"/>
      <c r="F52" s="173"/>
      <c r="G52" s="174"/>
      <c r="H52" s="174"/>
      <c r="I52" s="174"/>
      <c r="J52" s="174"/>
      <c r="K52" s="175"/>
    </row>
    <row r="53" spans="1:11" ht="15.75" x14ac:dyDescent="0.25">
      <c r="A53" s="165" t="s">
        <v>18</v>
      </c>
      <c r="B53" s="165"/>
      <c r="C53" s="165"/>
      <c r="D53" s="165"/>
      <c r="F53" s="173"/>
      <c r="G53" s="174"/>
      <c r="H53" s="174"/>
      <c r="I53" s="174"/>
      <c r="J53" s="174"/>
      <c r="K53" s="175"/>
    </row>
    <row r="54" spans="1:11" x14ac:dyDescent="0.25">
      <c r="A54" s="76" t="s">
        <v>99</v>
      </c>
      <c r="B54" s="100" t="s">
        <v>361</v>
      </c>
      <c r="C54" s="79"/>
      <c r="D54" s="28" t="s">
        <v>56</v>
      </c>
      <c r="F54" s="173"/>
      <c r="G54" s="174"/>
      <c r="H54" s="174"/>
      <c r="I54" s="174"/>
      <c r="J54" s="174"/>
      <c r="K54" s="175"/>
    </row>
    <row r="55" spans="1:11" x14ac:dyDescent="0.25">
      <c r="A55" s="76" t="s">
        <v>100</v>
      </c>
      <c r="B55" s="100" t="s">
        <v>12</v>
      </c>
      <c r="C55" s="79"/>
      <c r="D55" s="28"/>
      <c r="F55" s="173"/>
      <c r="G55" s="174"/>
      <c r="H55" s="174"/>
      <c r="I55" s="174"/>
      <c r="J55" s="174"/>
      <c r="K55" s="175"/>
    </row>
    <row r="56" spans="1:11" x14ac:dyDescent="0.25">
      <c r="A56" s="76" t="s">
        <v>101</v>
      </c>
      <c r="B56" s="100" t="s">
        <v>362</v>
      </c>
      <c r="C56" s="79"/>
      <c r="D56" s="28" t="s">
        <v>56</v>
      </c>
      <c r="F56" s="173"/>
      <c r="G56" s="174"/>
      <c r="H56" s="174"/>
      <c r="I56" s="174"/>
      <c r="J56" s="174"/>
      <c r="K56" s="175"/>
    </row>
    <row r="57" spans="1:11" ht="18" x14ac:dyDescent="0.25">
      <c r="A57" s="76" t="s">
        <v>102</v>
      </c>
      <c r="B57" s="100" t="s">
        <v>130</v>
      </c>
      <c r="C57" s="79"/>
      <c r="D57" s="28" t="s">
        <v>56</v>
      </c>
      <c r="F57" s="173"/>
      <c r="G57" s="174"/>
      <c r="H57" s="174"/>
      <c r="I57" s="174"/>
      <c r="J57" s="174"/>
      <c r="K57" s="175"/>
    </row>
    <row r="58" spans="1:11" ht="28.5" customHeight="1" x14ac:dyDescent="0.25">
      <c r="A58" s="76" t="s">
        <v>347</v>
      </c>
      <c r="B58" s="92"/>
      <c r="C58" s="79"/>
      <c r="D58" s="28"/>
      <c r="F58" s="173"/>
      <c r="G58" s="174"/>
      <c r="H58" s="174"/>
      <c r="I58" s="174"/>
      <c r="J58" s="174"/>
      <c r="K58" s="175"/>
    </row>
    <row r="59" spans="1:11" ht="31.5" customHeight="1" x14ac:dyDescent="0.25">
      <c r="A59" s="76" t="s">
        <v>19</v>
      </c>
      <c r="B59" s="85"/>
      <c r="C59" s="79"/>
      <c r="D59" s="2"/>
      <c r="F59" s="173"/>
      <c r="G59" s="174"/>
      <c r="H59" s="174"/>
      <c r="I59" s="174"/>
      <c r="J59" s="174"/>
      <c r="K59" s="175"/>
    </row>
    <row r="60" spans="1:11" ht="38.25" customHeight="1" x14ac:dyDescent="0.25">
      <c r="A60" s="75" t="s">
        <v>363</v>
      </c>
      <c r="B60" s="92"/>
      <c r="C60" s="79"/>
      <c r="D60" s="28" t="s">
        <v>56</v>
      </c>
      <c r="F60" s="173"/>
      <c r="G60" s="174"/>
      <c r="H60" s="174"/>
      <c r="I60" s="174"/>
      <c r="J60" s="174"/>
      <c r="K60" s="175"/>
    </row>
    <row r="61" spans="1:11" ht="41.25" customHeight="1" x14ac:dyDescent="0.25">
      <c r="A61" s="76" t="s">
        <v>180</v>
      </c>
      <c r="B61" s="85"/>
      <c r="C61" s="79"/>
      <c r="D61" s="28" t="s">
        <v>56</v>
      </c>
      <c r="F61" s="173"/>
      <c r="G61" s="174"/>
      <c r="H61" s="174"/>
      <c r="I61" s="174"/>
      <c r="J61" s="174"/>
      <c r="K61" s="175"/>
    </row>
    <row r="62" spans="1:11" ht="30.75" customHeight="1" x14ac:dyDescent="0.25">
      <c r="A62" s="76" t="s">
        <v>181</v>
      </c>
      <c r="B62" s="85"/>
      <c r="C62" s="79"/>
      <c r="D62" s="2"/>
      <c r="F62" s="173"/>
      <c r="G62" s="174"/>
      <c r="H62" s="174"/>
      <c r="I62" s="174"/>
      <c r="J62" s="174"/>
      <c r="K62" s="175"/>
    </row>
    <row r="63" spans="1:11" x14ac:dyDescent="0.25">
      <c r="F63" s="173"/>
      <c r="G63" s="174"/>
      <c r="H63" s="174"/>
      <c r="I63" s="174"/>
      <c r="J63" s="174"/>
      <c r="K63" s="175"/>
    </row>
    <row r="64" spans="1:11" x14ac:dyDescent="0.25">
      <c r="F64" s="173"/>
      <c r="G64" s="174"/>
      <c r="H64" s="174"/>
      <c r="I64" s="174"/>
      <c r="J64" s="174"/>
      <c r="K64" s="175"/>
    </row>
    <row r="65" spans="1:11" ht="16.5" thickBot="1" x14ac:dyDescent="0.3">
      <c r="A65" s="165" t="s">
        <v>103</v>
      </c>
      <c r="B65" s="165"/>
      <c r="C65" s="165"/>
      <c r="D65" s="165"/>
      <c r="F65" s="176"/>
      <c r="G65" s="177"/>
      <c r="H65" s="177"/>
      <c r="I65" s="177"/>
      <c r="J65" s="177"/>
      <c r="K65" s="178"/>
    </row>
    <row r="66" spans="1:11" x14ac:dyDescent="0.25">
      <c r="A66" s="76" t="s">
        <v>104</v>
      </c>
      <c r="B66" s="100" t="s">
        <v>375</v>
      </c>
      <c r="C66" s="79"/>
      <c r="D66" s="28" t="s">
        <v>55</v>
      </c>
    </row>
    <row r="67" spans="1:11" x14ac:dyDescent="0.25">
      <c r="A67" s="76" t="s">
        <v>105</v>
      </c>
      <c r="B67" s="100" t="s">
        <v>374</v>
      </c>
      <c r="C67" s="79"/>
      <c r="D67" s="28" t="s">
        <v>55</v>
      </c>
    </row>
    <row r="68" spans="1:11" ht="18" x14ac:dyDescent="0.25">
      <c r="A68" s="76" t="s">
        <v>106</v>
      </c>
      <c r="B68" s="100" t="s">
        <v>346</v>
      </c>
      <c r="C68" s="79"/>
      <c r="D68" s="28"/>
    </row>
    <row r="69" spans="1:11" x14ac:dyDescent="0.25">
      <c r="A69" s="76" t="s">
        <v>107</v>
      </c>
      <c r="B69" s="100" t="s">
        <v>117</v>
      </c>
      <c r="C69" s="79"/>
      <c r="D69" s="28" t="s">
        <v>55</v>
      </c>
    </row>
    <row r="70" spans="1:11" x14ac:dyDescent="0.25">
      <c r="A70" s="76" t="s">
        <v>108</v>
      </c>
      <c r="B70" s="100" t="s">
        <v>47</v>
      </c>
      <c r="C70" s="79"/>
      <c r="D70" s="28" t="s">
        <v>56</v>
      </c>
    </row>
    <row r="71" spans="1:11" ht="18" customHeight="1" x14ac:dyDescent="0.25">
      <c r="A71" s="76" t="s">
        <v>206</v>
      </c>
      <c r="B71" s="100" t="s">
        <v>212</v>
      </c>
      <c r="C71" s="79"/>
      <c r="D71" s="28"/>
    </row>
    <row r="72" spans="1:11" ht="28.5" customHeight="1" x14ac:dyDescent="0.25">
      <c r="A72" s="76" t="s">
        <v>207</v>
      </c>
      <c r="B72" s="100" t="s">
        <v>170</v>
      </c>
      <c r="C72" s="79"/>
      <c r="D72" s="82"/>
    </row>
    <row r="73" spans="1:11" x14ac:dyDescent="0.25">
      <c r="A73" s="73" t="s">
        <v>98</v>
      </c>
      <c r="B73" s="103" t="s">
        <v>93</v>
      </c>
      <c r="C73" s="79"/>
      <c r="D73" s="28"/>
    </row>
    <row r="74" spans="1:11" x14ac:dyDescent="0.25">
      <c r="A74" s="76" t="s">
        <v>126</v>
      </c>
      <c r="B74" s="102" t="s">
        <v>118</v>
      </c>
      <c r="C74" s="79"/>
      <c r="D74" s="84" t="s">
        <v>125</v>
      </c>
    </row>
    <row r="75" spans="1:11" x14ac:dyDescent="0.25">
      <c r="A75" s="76" t="s">
        <v>109</v>
      </c>
      <c r="B75" s="106" t="s">
        <v>109</v>
      </c>
      <c r="C75" s="79"/>
      <c r="D75" s="28" t="s">
        <v>55</v>
      </c>
    </row>
    <row r="76" spans="1:11" x14ac:dyDescent="0.25">
      <c r="A76" s="76" t="s">
        <v>110</v>
      </c>
      <c r="B76" s="100" t="s">
        <v>119</v>
      </c>
      <c r="C76" s="79"/>
      <c r="D76" s="28"/>
    </row>
    <row r="77" spans="1:11" x14ac:dyDescent="0.25">
      <c r="A77" s="76" t="s">
        <v>111</v>
      </c>
      <c r="B77" s="100" t="s">
        <v>120</v>
      </c>
      <c r="C77" s="79"/>
      <c r="D77" s="28"/>
    </row>
    <row r="78" spans="1:11" x14ac:dyDescent="0.25">
      <c r="A78" s="76" t="s">
        <v>112</v>
      </c>
      <c r="B78" s="100" t="s">
        <v>121</v>
      </c>
      <c r="C78" s="79"/>
      <c r="D78" s="28"/>
    </row>
    <row r="79" spans="1:11" ht="30" x14ac:dyDescent="0.25">
      <c r="A79" s="76" t="s">
        <v>113</v>
      </c>
      <c r="B79" s="100" t="s">
        <v>122</v>
      </c>
      <c r="C79" s="79"/>
      <c r="D79" s="28"/>
    </row>
    <row r="80" spans="1:11" x14ac:dyDescent="0.25">
      <c r="A80" s="76" t="s">
        <v>114</v>
      </c>
      <c r="B80" s="100" t="s">
        <v>182</v>
      </c>
      <c r="C80" s="79"/>
      <c r="D80" s="28"/>
    </row>
    <row r="81" spans="1:6" x14ac:dyDescent="0.25">
      <c r="A81" s="76" t="s">
        <v>115</v>
      </c>
      <c r="B81" s="100" t="s">
        <v>123</v>
      </c>
      <c r="C81" s="79"/>
      <c r="D81" s="28"/>
    </row>
    <row r="82" spans="1:6" x14ac:dyDescent="0.25">
      <c r="A82" s="76" t="s">
        <v>129</v>
      </c>
      <c r="B82" s="102" t="s">
        <v>124</v>
      </c>
      <c r="C82" s="79"/>
      <c r="D82" s="28"/>
    </row>
    <row r="83" spans="1:6" x14ac:dyDescent="0.25">
      <c r="A83" s="91" t="s">
        <v>64</v>
      </c>
      <c r="B83" s="105" t="s">
        <v>64</v>
      </c>
      <c r="C83" s="79"/>
      <c r="D83" s="28" t="s">
        <v>55</v>
      </c>
    </row>
    <row r="84" spans="1:6" ht="30" customHeight="1" x14ac:dyDescent="0.25">
      <c r="A84" s="92" t="s">
        <v>116</v>
      </c>
      <c r="B84" s="93"/>
      <c r="C84" s="87"/>
      <c r="D84" s="28"/>
    </row>
    <row r="85" spans="1:6" ht="33" customHeight="1" x14ac:dyDescent="0.25">
      <c r="A85" s="88" t="s">
        <v>183</v>
      </c>
      <c r="B85" s="100" t="s">
        <v>185</v>
      </c>
      <c r="C85" s="79"/>
      <c r="D85" s="28" t="s">
        <v>56</v>
      </c>
      <c r="F85" s="80"/>
    </row>
    <row r="86" spans="1:6" ht="42.75" customHeight="1" x14ac:dyDescent="0.25">
      <c r="A86" s="14" t="s">
        <v>184</v>
      </c>
      <c r="B86" s="85"/>
      <c r="C86" s="79"/>
      <c r="D86" s="28" t="s">
        <v>56</v>
      </c>
      <c r="F86" s="80"/>
    </row>
    <row r="87" spans="1:6" ht="42.75" customHeight="1" x14ac:dyDescent="0.25">
      <c r="A87" s="77" t="s">
        <v>354</v>
      </c>
      <c r="B87" s="100" t="s">
        <v>353</v>
      </c>
      <c r="C87" s="79"/>
      <c r="D87" s="153" t="s">
        <v>56</v>
      </c>
      <c r="F87" s="80"/>
    </row>
    <row r="88" spans="1:6" ht="33.75" customHeight="1" x14ac:dyDescent="0.25">
      <c r="A88" s="14" t="s">
        <v>186</v>
      </c>
      <c r="B88" s="85"/>
      <c r="C88" s="79"/>
      <c r="D88" s="28" t="s">
        <v>56</v>
      </c>
    </row>
    <row r="89" spans="1:6" ht="30.75" customHeight="1" x14ac:dyDescent="0.25">
      <c r="A89" s="14" t="s">
        <v>187</v>
      </c>
      <c r="B89" s="100" t="s">
        <v>203</v>
      </c>
      <c r="C89" s="108"/>
      <c r="D89" s="28" t="s">
        <v>56</v>
      </c>
    </row>
    <row r="90" spans="1:6" ht="32.25" customHeight="1" x14ac:dyDescent="0.25">
      <c r="A90" s="77" t="s">
        <v>188</v>
      </c>
      <c r="B90" s="100" t="s">
        <v>202</v>
      </c>
      <c r="C90" s="79"/>
      <c r="D90" s="82" t="s">
        <v>56</v>
      </c>
    </row>
    <row r="91" spans="1:6" ht="30" customHeight="1" x14ac:dyDescent="0.25">
      <c r="A91" s="14" t="s">
        <v>189</v>
      </c>
      <c r="B91" s="85"/>
      <c r="C91" s="79"/>
      <c r="D91" s="28" t="s">
        <v>56</v>
      </c>
    </row>
    <row r="92" spans="1:6" ht="30.75" customHeight="1" x14ac:dyDescent="0.25">
      <c r="A92" s="76" t="s">
        <v>190</v>
      </c>
      <c r="B92" s="85"/>
      <c r="C92" s="79"/>
      <c r="D92" s="2"/>
    </row>
    <row r="93" spans="1:6" ht="16.5" customHeight="1" x14ac:dyDescent="0.25"/>
    <row r="94" spans="1:6" ht="16.5" customHeight="1" x14ac:dyDescent="0.25"/>
    <row r="95" spans="1:6" ht="15.75" x14ac:dyDescent="0.25">
      <c r="A95" s="165" t="s">
        <v>131</v>
      </c>
      <c r="B95" s="165"/>
      <c r="C95" s="165"/>
      <c r="D95" s="165"/>
    </row>
    <row r="96" spans="1:6" x14ac:dyDescent="0.25">
      <c r="A96" s="76" t="s">
        <v>104</v>
      </c>
      <c r="B96" s="100" t="s">
        <v>375</v>
      </c>
      <c r="C96" s="79"/>
      <c r="D96" s="28" t="s">
        <v>55</v>
      </c>
    </row>
    <row r="97" spans="1:4" x14ac:dyDescent="0.25">
      <c r="A97" s="2" t="s">
        <v>373</v>
      </c>
      <c r="B97" s="100" t="s">
        <v>374</v>
      </c>
      <c r="C97" s="79"/>
      <c r="D97" s="28" t="s">
        <v>55</v>
      </c>
    </row>
    <row r="98" spans="1:4" x14ac:dyDescent="0.25">
      <c r="A98" s="76" t="s">
        <v>100</v>
      </c>
      <c r="B98" s="100" t="s">
        <v>12</v>
      </c>
      <c r="C98" s="79"/>
      <c r="D98" s="28"/>
    </row>
    <row r="99" spans="1:4" x14ac:dyDescent="0.25">
      <c r="A99" s="2" t="s">
        <v>135</v>
      </c>
      <c r="B99" s="103" t="s">
        <v>137</v>
      </c>
      <c r="C99" s="79"/>
      <c r="D99" s="2"/>
    </row>
    <row r="100" spans="1:4" x14ac:dyDescent="0.25">
      <c r="A100" s="2" t="s">
        <v>134</v>
      </c>
      <c r="B100" s="101" t="s">
        <v>134</v>
      </c>
      <c r="C100" s="79"/>
      <c r="D100" s="2"/>
    </row>
    <row r="101" spans="1:4" x14ac:dyDescent="0.25">
      <c r="A101" s="83" t="s">
        <v>133</v>
      </c>
      <c r="B101" s="104" t="s">
        <v>133</v>
      </c>
      <c r="C101" s="79"/>
      <c r="D101" s="2"/>
    </row>
    <row r="102" spans="1:4" x14ac:dyDescent="0.25">
      <c r="A102" s="85" t="s">
        <v>132</v>
      </c>
      <c r="B102" s="86"/>
      <c r="C102" s="94"/>
      <c r="D102" s="2"/>
    </row>
    <row r="103" spans="1:4" ht="18" x14ac:dyDescent="0.35">
      <c r="A103" s="89" t="s">
        <v>191</v>
      </c>
      <c r="B103" s="101" t="s">
        <v>194</v>
      </c>
      <c r="C103" s="79"/>
      <c r="D103" s="28" t="s">
        <v>293</v>
      </c>
    </row>
    <row r="104" spans="1:4" ht="18" x14ac:dyDescent="0.35">
      <c r="A104" s="2" t="s">
        <v>192</v>
      </c>
      <c r="B104" s="101" t="s">
        <v>193</v>
      </c>
      <c r="C104" s="79"/>
      <c r="D104" s="28" t="s">
        <v>293</v>
      </c>
    </row>
    <row r="105" spans="1:4" ht="22.5" customHeight="1" x14ac:dyDescent="0.35">
      <c r="A105" s="83" t="s">
        <v>195</v>
      </c>
      <c r="B105" s="104" t="s">
        <v>196</v>
      </c>
      <c r="C105" s="79"/>
      <c r="D105" s="28" t="s">
        <v>293</v>
      </c>
    </row>
    <row r="106" spans="1:4" x14ac:dyDescent="0.25">
      <c r="A106" s="109" t="s">
        <v>215</v>
      </c>
      <c r="B106" s="111"/>
      <c r="C106" s="87"/>
      <c r="D106" s="82" t="s">
        <v>141</v>
      </c>
    </row>
    <row r="107" spans="1:4" x14ac:dyDescent="0.25">
      <c r="A107" s="89" t="s">
        <v>213</v>
      </c>
      <c r="B107" s="110" t="s">
        <v>214</v>
      </c>
      <c r="C107" s="79"/>
      <c r="D107" s="82"/>
    </row>
    <row r="108" spans="1:4" x14ac:dyDescent="0.25">
      <c r="A108" s="2" t="s">
        <v>138</v>
      </c>
      <c r="B108" s="101" t="s">
        <v>139</v>
      </c>
      <c r="C108" s="79"/>
      <c r="D108" s="28" t="s">
        <v>141</v>
      </c>
    </row>
    <row r="109" spans="1:4" x14ac:dyDescent="0.25">
      <c r="A109" s="85" t="s">
        <v>136</v>
      </c>
      <c r="B109" s="95"/>
      <c r="C109" s="79"/>
      <c r="D109" s="28"/>
    </row>
    <row r="110" spans="1:4" x14ac:dyDescent="0.25">
      <c r="A110" s="83" t="s">
        <v>197</v>
      </c>
      <c r="B110" s="131" t="s">
        <v>140</v>
      </c>
      <c r="C110" s="132"/>
      <c r="D110" s="135" t="s">
        <v>141</v>
      </c>
    </row>
    <row r="111" spans="1:4" ht="33" customHeight="1" x14ac:dyDescent="0.25">
      <c r="A111" s="130" t="s">
        <v>290</v>
      </c>
      <c r="B111" s="109" t="s">
        <v>376</v>
      </c>
      <c r="C111" s="133"/>
      <c r="D111" s="134"/>
    </row>
    <row r="113" spans="1:4" ht="15.75" x14ac:dyDescent="0.25">
      <c r="A113" s="165" t="s">
        <v>142</v>
      </c>
      <c r="B113" s="165"/>
      <c r="C113" s="165"/>
      <c r="D113" s="165"/>
    </row>
    <row r="114" spans="1:4" x14ac:dyDescent="0.25">
      <c r="A114" s="76" t="s">
        <v>104</v>
      </c>
      <c r="B114" s="149" t="s">
        <v>375</v>
      </c>
      <c r="C114" s="79"/>
      <c r="D114" s="149" t="s">
        <v>55</v>
      </c>
    </row>
    <row r="115" spans="1:4" x14ac:dyDescent="0.25">
      <c r="A115" s="76" t="s">
        <v>105</v>
      </c>
      <c r="B115" s="149" t="s">
        <v>374</v>
      </c>
      <c r="C115" s="79"/>
      <c r="D115" s="149" t="s">
        <v>55</v>
      </c>
    </row>
    <row r="116" spans="1:4" x14ac:dyDescent="0.25">
      <c r="A116" s="76" t="s">
        <v>206</v>
      </c>
      <c r="B116" s="149" t="s">
        <v>216</v>
      </c>
      <c r="C116" s="79"/>
      <c r="D116" s="149"/>
    </row>
    <row r="117" spans="1:4" x14ac:dyDescent="0.25">
      <c r="A117" s="76" t="s">
        <v>100</v>
      </c>
      <c r="B117" s="149" t="s">
        <v>364</v>
      </c>
      <c r="C117" s="79"/>
      <c r="D117" s="149"/>
    </row>
    <row r="118" spans="1:4" x14ac:dyDescent="0.25">
      <c r="A118" s="76" t="s">
        <v>367</v>
      </c>
      <c r="B118" s="149" t="s">
        <v>368</v>
      </c>
      <c r="C118" s="79"/>
      <c r="D118" s="149" t="s">
        <v>55</v>
      </c>
    </row>
    <row r="119" spans="1:4" ht="18" x14ac:dyDescent="0.25">
      <c r="A119" s="76" t="s">
        <v>370</v>
      </c>
      <c r="B119" s="158" t="s">
        <v>369</v>
      </c>
      <c r="C119" s="79"/>
      <c r="D119" s="149" t="s">
        <v>55</v>
      </c>
    </row>
    <row r="120" spans="1:4" x14ac:dyDescent="0.25">
      <c r="A120" s="76" t="s">
        <v>371</v>
      </c>
      <c r="B120" s="157" t="s">
        <v>117</v>
      </c>
      <c r="C120" s="79"/>
      <c r="D120" s="121" t="s">
        <v>55</v>
      </c>
    </row>
    <row r="121" spans="1:4" ht="18" x14ac:dyDescent="0.25">
      <c r="A121" s="76" t="s">
        <v>372</v>
      </c>
      <c r="B121" s="157" t="s">
        <v>143</v>
      </c>
      <c r="C121" s="79"/>
      <c r="D121" s="121" t="s">
        <v>55</v>
      </c>
    </row>
    <row r="122" spans="1:4" ht="34.5" customHeight="1" x14ac:dyDescent="0.25">
      <c r="A122" s="76" t="s">
        <v>13</v>
      </c>
      <c r="B122" s="72"/>
      <c r="C122" s="79"/>
      <c r="D122" s="2"/>
    </row>
    <row r="123" spans="1:4" ht="33" x14ac:dyDescent="0.25">
      <c r="A123" s="76" t="s">
        <v>198</v>
      </c>
      <c r="B123" s="72"/>
      <c r="C123" s="79"/>
      <c r="D123" s="74" t="s">
        <v>89</v>
      </c>
    </row>
    <row r="124" spans="1:4" ht="50.25" customHeight="1" x14ac:dyDescent="0.25">
      <c r="A124" s="76" t="s">
        <v>157</v>
      </c>
      <c r="B124" s="150"/>
      <c r="C124" s="79"/>
      <c r="D124" s="74" t="s">
        <v>90</v>
      </c>
    </row>
    <row r="125" spans="1:4" ht="36.75" customHeight="1" x14ac:dyDescent="0.25">
      <c r="A125" s="76" t="s">
        <v>365</v>
      </c>
      <c r="B125" s="72"/>
      <c r="C125" s="79"/>
      <c r="D125" s="149" t="s">
        <v>56</v>
      </c>
    </row>
    <row r="126" spans="1:4" ht="50.25" customHeight="1" x14ac:dyDescent="0.25">
      <c r="A126" s="76" t="s">
        <v>172</v>
      </c>
      <c r="B126" s="150"/>
      <c r="C126" s="79"/>
      <c r="D126" s="149" t="s">
        <v>56</v>
      </c>
    </row>
    <row r="127" spans="1:4" ht="39" customHeight="1" x14ac:dyDescent="0.25">
      <c r="A127" s="76" t="s">
        <v>199</v>
      </c>
      <c r="B127" s="150"/>
      <c r="C127" s="79"/>
      <c r="D127" s="2"/>
    </row>
    <row r="128" spans="1:4" ht="15" customHeight="1" x14ac:dyDescent="0.25">
      <c r="A128" s="151" t="s">
        <v>144</v>
      </c>
      <c r="B128" s="118"/>
      <c r="C128" s="79"/>
      <c r="D128" s="2"/>
    </row>
    <row r="129" spans="1:6" x14ac:dyDescent="0.25">
      <c r="A129" s="76" t="s">
        <v>112</v>
      </c>
      <c r="B129" s="149" t="s">
        <v>121</v>
      </c>
      <c r="C129" s="79"/>
      <c r="D129" s="149"/>
    </row>
    <row r="130" spans="1:6" x14ac:dyDescent="0.25">
      <c r="A130" s="76" t="s">
        <v>147</v>
      </c>
      <c r="B130" s="149" t="s">
        <v>122</v>
      </c>
      <c r="C130" s="79"/>
      <c r="D130" s="149"/>
    </row>
    <row r="131" spans="1:6" x14ac:dyDescent="0.25">
      <c r="A131" s="76" t="s">
        <v>115</v>
      </c>
      <c r="B131" s="149" t="s">
        <v>123</v>
      </c>
      <c r="C131" s="79"/>
      <c r="D131" s="149"/>
    </row>
    <row r="132" spans="1:6" x14ac:dyDescent="0.25">
      <c r="A132" s="76" t="s">
        <v>129</v>
      </c>
      <c r="B132" s="152" t="s">
        <v>124</v>
      </c>
      <c r="C132" s="79"/>
      <c r="D132" s="149"/>
    </row>
    <row r="133" spans="1:6" ht="36.75" customHeight="1" x14ac:dyDescent="0.25">
      <c r="A133" s="77" t="s">
        <v>200</v>
      </c>
      <c r="B133" s="72"/>
      <c r="C133" s="79"/>
      <c r="D133" s="149" t="s">
        <v>56</v>
      </c>
    </row>
    <row r="134" spans="1:6" ht="42.75" customHeight="1" x14ac:dyDescent="0.25">
      <c r="A134" s="77" t="s">
        <v>354</v>
      </c>
      <c r="B134" s="100" t="s">
        <v>353</v>
      </c>
      <c r="C134" s="79"/>
      <c r="D134" s="153" t="s">
        <v>56</v>
      </c>
      <c r="F134" s="80"/>
    </row>
    <row r="135" spans="1:6" ht="38.25" customHeight="1" x14ac:dyDescent="0.25">
      <c r="A135" s="77" t="s">
        <v>201</v>
      </c>
      <c r="B135" s="72"/>
      <c r="C135" s="79"/>
      <c r="D135" s="149" t="s">
        <v>56</v>
      </c>
    </row>
    <row r="136" spans="1:6" ht="18" customHeight="1" x14ac:dyDescent="0.25">
      <c r="A136" s="77" t="s">
        <v>128</v>
      </c>
      <c r="B136" s="149" t="s">
        <v>37</v>
      </c>
      <c r="C136" s="79"/>
      <c r="D136" s="149" t="s">
        <v>56</v>
      </c>
    </row>
    <row r="137" spans="1:6" ht="18" customHeight="1" x14ac:dyDescent="0.25">
      <c r="A137" s="77" t="s">
        <v>171</v>
      </c>
      <c r="B137" s="149" t="s">
        <v>170</v>
      </c>
      <c r="C137" s="79"/>
      <c r="D137" s="149" t="s">
        <v>56</v>
      </c>
    </row>
    <row r="138" spans="1:6" ht="24.75" customHeight="1" x14ac:dyDescent="0.25">
      <c r="A138" s="77" t="s">
        <v>127</v>
      </c>
      <c r="B138" s="149"/>
      <c r="C138" s="79"/>
      <c r="D138" s="149" t="s">
        <v>56</v>
      </c>
    </row>
    <row r="139" spans="1:6" ht="26.25" customHeight="1" x14ac:dyDescent="0.25">
      <c r="A139" s="76" t="s">
        <v>190</v>
      </c>
      <c r="B139" s="72"/>
      <c r="C139" s="79"/>
      <c r="D139" s="2"/>
    </row>
    <row r="140" spans="1:6" ht="37.5" customHeight="1" x14ac:dyDescent="0.25">
      <c r="A140" s="77" t="s">
        <v>126</v>
      </c>
      <c r="B140" s="149" t="s">
        <v>118</v>
      </c>
      <c r="C140" s="149"/>
      <c r="D140" s="149" t="s">
        <v>125</v>
      </c>
    </row>
    <row r="141" spans="1:6" x14ac:dyDescent="0.25">
      <c r="A141" s="2" t="s">
        <v>109</v>
      </c>
      <c r="B141" s="149" t="s">
        <v>109</v>
      </c>
      <c r="C141" s="149"/>
      <c r="D141" s="149" t="s">
        <v>55</v>
      </c>
    </row>
    <row r="142" spans="1:6" ht="41.25" customHeight="1" x14ac:dyDescent="0.25">
      <c r="A142" s="2" t="s">
        <v>110</v>
      </c>
      <c r="B142" s="149" t="s">
        <v>119</v>
      </c>
      <c r="C142" s="149"/>
      <c r="D142" s="149"/>
    </row>
    <row r="143" spans="1:6" ht="32.25" customHeight="1" x14ac:dyDescent="0.25">
      <c r="A143" s="2" t="s">
        <v>111</v>
      </c>
      <c r="B143" s="149" t="s">
        <v>120</v>
      </c>
      <c r="C143" s="149"/>
      <c r="D143" s="149"/>
    </row>
    <row r="144" spans="1:6" x14ac:dyDescent="0.25">
      <c r="A144" s="2" t="s">
        <v>112</v>
      </c>
      <c r="B144" s="149" t="s">
        <v>348</v>
      </c>
      <c r="C144" s="149"/>
      <c r="D144" s="149"/>
    </row>
    <row r="145" spans="1:4" ht="31.5" customHeight="1" x14ac:dyDescent="0.25">
      <c r="A145" s="75" t="s">
        <v>113</v>
      </c>
      <c r="B145" s="149" t="s">
        <v>349</v>
      </c>
      <c r="C145" s="2"/>
      <c r="D145" s="2"/>
    </row>
    <row r="146" spans="1:4" x14ac:dyDescent="0.25">
      <c r="A146" s="75" t="s">
        <v>114</v>
      </c>
      <c r="B146" s="149" t="s">
        <v>350</v>
      </c>
      <c r="C146" s="2"/>
      <c r="D146" s="2"/>
    </row>
    <row r="147" spans="1:4" ht="36.75" customHeight="1" x14ac:dyDescent="0.25">
      <c r="A147" s="77" t="s">
        <v>351</v>
      </c>
      <c r="B147" s="149"/>
      <c r="C147" s="79"/>
      <c r="D147" s="149" t="s">
        <v>56</v>
      </c>
    </row>
    <row r="148" spans="1:4" ht="29.25" customHeight="1" x14ac:dyDescent="0.25">
      <c r="A148" s="76" t="s">
        <v>352</v>
      </c>
      <c r="B148" s="72"/>
      <c r="C148" s="79"/>
      <c r="D148" s="2"/>
    </row>
  </sheetData>
  <mergeCells count="11">
    <mergeCell ref="A7:C7"/>
    <mergeCell ref="A19:C19"/>
    <mergeCell ref="A113:D113"/>
    <mergeCell ref="A40:D40"/>
    <mergeCell ref="F28:I28"/>
    <mergeCell ref="A28:D28"/>
    <mergeCell ref="A95:D95"/>
    <mergeCell ref="A53:D53"/>
    <mergeCell ref="A65:D65"/>
    <mergeCell ref="F40:I40"/>
    <mergeCell ref="F46:K65"/>
  </mergeCells>
  <pageMargins left="0.7" right="0.7" top="0.75" bottom="0.75" header="0.3" footer="0.3"/>
  <pageSetup paperSize="9" orientation="portrait" r:id="rId1"/>
  <ignoredErrors>
    <ignoredError sqref="B1:B5" unlockedFormula="1"/>
  </ignoredErrors>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G35"/>
  <sheetViews>
    <sheetView zoomScaleNormal="100" workbookViewId="0">
      <selection activeCell="A21" sqref="A21:C35"/>
    </sheetView>
  </sheetViews>
  <sheetFormatPr defaultRowHeight="15" x14ac:dyDescent="0.25"/>
  <cols>
    <col min="1" max="1" width="9.28515625" customWidth="1"/>
    <col min="2" max="2" width="12.7109375" customWidth="1"/>
    <col min="4" max="4" width="13.7109375" customWidth="1"/>
  </cols>
  <sheetData>
    <row r="1" spans="1:7" x14ac:dyDescent="0.25">
      <c r="A1" s="180" t="s">
        <v>68</v>
      </c>
      <c r="B1" s="179" t="s">
        <v>69</v>
      </c>
      <c r="C1" s="179"/>
      <c r="D1" s="179"/>
      <c r="E1" s="179"/>
      <c r="F1" s="179"/>
      <c r="G1" s="179"/>
    </row>
    <row r="2" spans="1:7" ht="45" x14ac:dyDescent="0.25">
      <c r="A2" s="180"/>
      <c r="B2" s="179" t="s">
        <v>77</v>
      </c>
      <c r="C2" s="18" t="s">
        <v>71</v>
      </c>
      <c r="D2" s="179" t="s">
        <v>78</v>
      </c>
      <c r="E2" s="18" t="s">
        <v>72</v>
      </c>
      <c r="F2" s="179" t="s">
        <v>79</v>
      </c>
      <c r="G2" s="18" t="s">
        <v>73</v>
      </c>
    </row>
    <row r="3" spans="1:7" x14ac:dyDescent="0.25">
      <c r="A3" s="180"/>
      <c r="B3" s="179"/>
      <c r="C3" s="16" t="s">
        <v>70</v>
      </c>
      <c r="D3" s="179"/>
      <c r="E3" s="16" t="s">
        <v>74</v>
      </c>
      <c r="F3" s="179"/>
      <c r="G3" s="16" t="s">
        <v>47</v>
      </c>
    </row>
    <row r="4" spans="1:7" x14ac:dyDescent="0.25">
      <c r="A4" s="17">
        <v>70</v>
      </c>
      <c r="B4" s="17">
        <v>1</v>
      </c>
      <c r="C4" s="17">
        <v>55000</v>
      </c>
      <c r="D4" s="17">
        <v>1</v>
      </c>
      <c r="E4" s="17">
        <v>37000</v>
      </c>
      <c r="F4" s="17">
        <v>1</v>
      </c>
      <c r="G4" s="17">
        <v>10500</v>
      </c>
    </row>
    <row r="5" spans="1:7" x14ac:dyDescent="0.25">
      <c r="A5" s="17">
        <v>110</v>
      </c>
      <c r="B5" s="17">
        <v>0.99</v>
      </c>
      <c r="C5" s="17">
        <v>54450</v>
      </c>
      <c r="D5" s="17">
        <v>0.99</v>
      </c>
      <c r="E5" s="17">
        <v>36630</v>
      </c>
      <c r="F5" s="17">
        <v>0.99</v>
      </c>
      <c r="G5" s="17">
        <v>10395</v>
      </c>
    </row>
    <row r="6" spans="1:7" x14ac:dyDescent="0.25">
      <c r="A6" s="17">
        <v>160</v>
      </c>
      <c r="B6" s="17">
        <v>0.97</v>
      </c>
      <c r="C6" s="17">
        <v>53350</v>
      </c>
      <c r="D6" s="17">
        <v>0.96</v>
      </c>
      <c r="E6" s="17">
        <v>35520</v>
      </c>
      <c r="F6" s="17">
        <v>0.98</v>
      </c>
      <c r="G6" s="17">
        <v>10290</v>
      </c>
    </row>
    <row r="7" spans="1:7" x14ac:dyDescent="0.25">
      <c r="A7" s="17">
        <v>200</v>
      </c>
      <c r="B7" s="17">
        <v>0.94</v>
      </c>
      <c r="C7" s="17">
        <v>51540</v>
      </c>
      <c r="D7" s="17">
        <v>0.93</v>
      </c>
      <c r="E7" s="17">
        <v>34410</v>
      </c>
      <c r="F7" s="17">
        <v>0.97</v>
      </c>
      <c r="G7" s="17">
        <v>10185</v>
      </c>
    </row>
    <row r="8" spans="1:7" x14ac:dyDescent="0.25">
      <c r="A8" s="17">
        <v>250</v>
      </c>
      <c r="B8" s="17">
        <v>0.86</v>
      </c>
      <c r="C8" s="17">
        <v>47140</v>
      </c>
      <c r="D8" s="17">
        <v>0.89</v>
      </c>
      <c r="E8" s="17">
        <v>32880</v>
      </c>
      <c r="F8" s="17">
        <v>0.96</v>
      </c>
      <c r="G8" s="17">
        <v>10080</v>
      </c>
    </row>
    <row r="9" spans="1:7" x14ac:dyDescent="0.25">
      <c r="A9" s="17">
        <v>300</v>
      </c>
      <c r="B9" s="17">
        <v>0.78</v>
      </c>
      <c r="C9" s="17">
        <v>42660</v>
      </c>
      <c r="D9" s="17">
        <v>0.79</v>
      </c>
      <c r="E9" s="17">
        <v>29330</v>
      </c>
      <c r="F9" s="17">
        <v>0.93</v>
      </c>
      <c r="G9" s="17">
        <v>9765</v>
      </c>
    </row>
    <row r="10" spans="1:7" x14ac:dyDescent="0.25">
      <c r="A10" s="17">
        <v>350</v>
      </c>
      <c r="B10" s="17">
        <v>0.68</v>
      </c>
      <c r="C10" s="17">
        <v>37160</v>
      </c>
      <c r="D10" s="17">
        <v>0.66</v>
      </c>
      <c r="E10" s="17">
        <v>24580</v>
      </c>
      <c r="F10" s="17">
        <v>0.91</v>
      </c>
      <c r="G10" s="17">
        <v>9555</v>
      </c>
    </row>
    <row r="11" spans="1:7" x14ac:dyDescent="0.25">
      <c r="A11" s="17">
        <v>400</v>
      </c>
      <c r="B11" s="17">
        <v>0.59</v>
      </c>
      <c r="C11" s="17">
        <v>32369.999999999996</v>
      </c>
      <c r="D11" s="17">
        <v>0.59</v>
      </c>
      <c r="E11" s="17">
        <v>21670</v>
      </c>
      <c r="F11" s="17">
        <v>0.88</v>
      </c>
      <c r="G11" s="17">
        <v>9240</v>
      </c>
    </row>
    <row r="12" spans="1:7" x14ac:dyDescent="0.25">
      <c r="A12" s="17">
        <v>450</v>
      </c>
      <c r="B12" s="17">
        <v>0.53</v>
      </c>
      <c r="C12" s="17">
        <v>29070</v>
      </c>
      <c r="D12" s="17">
        <v>0.55000000000000004</v>
      </c>
      <c r="E12" s="17">
        <v>20190</v>
      </c>
      <c r="F12" s="17">
        <v>0.84</v>
      </c>
      <c r="G12" s="17">
        <v>8820</v>
      </c>
    </row>
    <row r="13" spans="1:7" x14ac:dyDescent="0.25">
      <c r="A13" s="17">
        <v>500</v>
      </c>
      <c r="B13" s="17">
        <v>0.45</v>
      </c>
      <c r="C13" s="17">
        <v>24750</v>
      </c>
      <c r="D13" s="17">
        <v>0.49</v>
      </c>
      <c r="E13" s="17">
        <v>18020</v>
      </c>
      <c r="F13" s="17">
        <v>0.8</v>
      </c>
      <c r="G13" s="17">
        <v>8400</v>
      </c>
    </row>
    <row r="14" spans="1:7" x14ac:dyDescent="0.25">
      <c r="A14" s="17">
        <v>550</v>
      </c>
      <c r="B14" s="17">
        <v>0.36</v>
      </c>
      <c r="C14" s="17">
        <v>19800</v>
      </c>
      <c r="D14" s="17">
        <v>0.39</v>
      </c>
      <c r="E14" s="17">
        <v>14430</v>
      </c>
      <c r="F14" s="17">
        <v>0.76</v>
      </c>
      <c r="G14" s="17">
        <v>7980</v>
      </c>
    </row>
    <row r="15" spans="1:7" x14ac:dyDescent="0.25">
      <c r="A15" s="17">
        <v>600</v>
      </c>
      <c r="B15" s="17">
        <v>0.24</v>
      </c>
      <c r="C15" s="17">
        <v>13430</v>
      </c>
      <c r="D15" s="17">
        <v>0.27</v>
      </c>
      <c r="E15" s="17">
        <v>10150</v>
      </c>
      <c r="F15" s="17">
        <v>0.71</v>
      </c>
      <c r="G15" s="17">
        <v>7455</v>
      </c>
    </row>
    <row r="16" spans="1:7" x14ac:dyDescent="0.25">
      <c r="A16" s="17">
        <v>650</v>
      </c>
      <c r="B16" s="17">
        <v>0.13</v>
      </c>
      <c r="C16" s="17">
        <v>6910</v>
      </c>
      <c r="D16" s="17">
        <v>0.16</v>
      </c>
      <c r="E16" s="17">
        <v>6020</v>
      </c>
      <c r="F16" s="17">
        <v>0.66</v>
      </c>
      <c r="G16" s="17">
        <v>6930</v>
      </c>
    </row>
    <row r="17" spans="1:7" x14ac:dyDescent="0.25">
      <c r="A17" s="17">
        <v>700</v>
      </c>
      <c r="B17" s="17">
        <v>7.0000000000000007E-2</v>
      </c>
      <c r="C17" s="17">
        <v>3850</v>
      </c>
      <c r="D17" s="17">
        <v>0.09</v>
      </c>
      <c r="E17" s="17">
        <v>3280</v>
      </c>
      <c r="F17" s="17">
        <v>0.61</v>
      </c>
      <c r="G17" s="17">
        <v>6405</v>
      </c>
    </row>
    <row r="18" spans="1:7" x14ac:dyDescent="0.25">
      <c r="A18" s="17">
        <v>750</v>
      </c>
      <c r="B18" s="17">
        <v>0.05</v>
      </c>
      <c r="C18" s="17">
        <v>2750</v>
      </c>
      <c r="D18" s="17">
        <v>7.0000000000000007E-2</v>
      </c>
      <c r="E18" s="17">
        <v>2540</v>
      </c>
      <c r="F18" s="17">
        <v>0.54</v>
      </c>
      <c r="G18" s="17">
        <v>5670</v>
      </c>
    </row>
    <row r="19" spans="1:7" x14ac:dyDescent="0.25">
      <c r="A19" s="17">
        <v>800</v>
      </c>
      <c r="B19" s="17">
        <v>0.04</v>
      </c>
      <c r="C19" s="17">
        <v>2200</v>
      </c>
      <c r="D19" s="17">
        <v>0.05</v>
      </c>
      <c r="E19" s="17">
        <v>2009.9999999999998</v>
      </c>
      <c r="F19" s="17">
        <v>0.48</v>
      </c>
      <c r="G19" s="17">
        <v>5040</v>
      </c>
    </row>
    <row r="21" spans="1:7" x14ac:dyDescent="0.25">
      <c r="A21" s="179" t="s">
        <v>75</v>
      </c>
      <c r="B21" s="179"/>
      <c r="C21" s="179"/>
    </row>
    <row r="22" spans="1:7" x14ac:dyDescent="0.25">
      <c r="A22" s="19" t="s">
        <v>58</v>
      </c>
      <c r="B22" s="19" t="s">
        <v>76</v>
      </c>
      <c r="C22" s="19" t="s">
        <v>37</v>
      </c>
    </row>
    <row r="23" spans="1:7" x14ac:dyDescent="0.25">
      <c r="A23" s="17">
        <v>70</v>
      </c>
      <c r="B23" s="17">
        <v>1</v>
      </c>
      <c r="C23" s="17">
        <v>37000</v>
      </c>
    </row>
    <row r="24" spans="1:7" x14ac:dyDescent="0.25">
      <c r="A24" s="17">
        <v>250</v>
      </c>
      <c r="B24" s="17">
        <v>0.89300000000000002</v>
      </c>
      <c r="C24" s="17">
        <f>$C$23*B24</f>
        <v>33041</v>
      </c>
    </row>
    <row r="25" spans="1:7" x14ac:dyDescent="0.25">
      <c r="A25" s="17">
        <v>300</v>
      </c>
      <c r="B25" s="17">
        <v>0.79300000000000004</v>
      </c>
      <c r="C25" s="17">
        <f>$C$23*B25</f>
        <v>29341</v>
      </c>
    </row>
    <row r="26" spans="1:7" x14ac:dyDescent="0.25">
      <c r="A26" s="17">
        <v>350</v>
      </c>
      <c r="B26" s="17">
        <v>0.66400000000000003</v>
      </c>
      <c r="C26" s="17">
        <f t="shared" ref="C26:C35" si="0">$C$23*B26</f>
        <v>24568</v>
      </c>
    </row>
    <row r="27" spans="1:7" x14ac:dyDescent="0.25">
      <c r="A27" s="17">
        <v>400</v>
      </c>
      <c r="B27" s="17">
        <v>0.58599999999999997</v>
      </c>
      <c r="C27" s="17">
        <f t="shared" si="0"/>
        <v>21682</v>
      </c>
    </row>
    <row r="28" spans="1:7" x14ac:dyDescent="0.25">
      <c r="A28" s="17">
        <v>450</v>
      </c>
      <c r="B28" s="17">
        <v>0.53700000000000003</v>
      </c>
      <c r="C28" s="17">
        <f t="shared" si="0"/>
        <v>19869</v>
      </c>
    </row>
    <row r="29" spans="1:7" x14ac:dyDescent="0.25">
      <c r="A29" s="17">
        <v>500</v>
      </c>
      <c r="B29" s="17">
        <v>0.49</v>
      </c>
      <c r="C29" s="17">
        <f t="shared" si="0"/>
        <v>18130</v>
      </c>
    </row>
    <row r="30" spans="1:7" x14ac:dyDescent="0.25">
      <c r="A30" s="17">
        <v>550</v>
      </c>
      <c r="B30" s="17">
        <v>0.4</v>
      </c>
      <c r="C30" s="17">
        <f t="shared" si="0"/>
        <v>14800</v>
      </c>
    </row>
    <row r="31" spans="1:7" x14ac:dyDescent="0.25">
      <c r="A31" s="17">
        <v>600</v>
      </c>
      <c r="B31" s="17">
        <v>0.27</v>
      </c>
      <c r="C31" s="17">
        <f t="shared" si="0"/>
        <v>9990</v>
      </c>
    </row>
    <row r="32" spans="1:7" x14ac:dyDescent="0.25">
      <c r="A32" s="17">
        <v>650</v>
      </c>
      <c r="B32" s="17">
        <v>0.16</v>
      </c>
      <c r="C32" s="17">
        <f t="shared" si="0"/>
        <v>5920</v>
      </c>
    </row>
    <row r="33" spans="1:3" x14ac:dyDescent="0.25">
      <c r="A33" s="17">
        <v>700</v>
      </c>
      <c r="B33" s="17">
        <v>0.09</v>
      </c>
      <c r="C33" s="17">
        <f t="shared" si="0"/>
        <v>3330</v>
      </c>
    </row>
    <row r="34" spans="1:3" x14ac:dyDescent="0.25">
      <c r="A34" s="17">
        <v>750</v>
      </c>
      <c r="B34" s="17">
        <v>0.06</v>
      </c>
      <c r="C34" s="17">
        <f t="shared" si="0"/>
        <v>2220</v>
      </c>
    </row>
    <row r="35" spans="1:3" x14ac:dyDescent="0.25">
      <c r="A35" s="17">
        <v>800</v>
      </c>
      <c r="B35" s="17">
        <v>0.06</v>
      </c>
      <c r="C35" s="17">
        <f t="shared" si="0"/>
        <v>2220</v>
      </c>
    </row>
  </sheetData>
  <mergeCells count="6">
    <mergeCell ref="F2:F3"/>
    <mergeCell ref="B1:G1"/>
    <mergeCell ref="A1:A3"/>
    <mergeCell ref="A21:C21"/>
    <mergeCell ref="B2:B3"/>
    <mergeCell ref="D2:D3"/>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A8E999-8BEC-408D-925B-0390092D20B3}">
  <sheetPr codeName="Sheet7">
    <tabColor theme="0" tint="-0.249977111117893"/>
  </sheetPr>
  <dimension ref="A3:H21"/>
  <sheetViews>
    <sheetView showGridLines="0" workbookViewId="0">
      <selection activeCell="E14" sqref="E14"/>
    </sheetView>
  </sheetViews>
  <sheetFormatPr defaultRowHeight="15" x14ac:dyDescent="0.25"/>
  <cols>
    <col min="1" max="1" width="29.42578125" bestFit="1" customWidth="1"/>
    <col min="2" max="2" width="63.5703125" bestFit="1" customWidth="1"/>
    <col min="3" max="3" width="13.7109375" customWidth="1"/>
    <col min="4" max="4" width="14.42578125" bestFit="1" customWidth="1"/>
  </cols>
  <sheetData>
    <row r="3" spans="1:8" x14ac:dyDescent="0.25">
      <c r="F3" s="181" t="s">
        <v>326</v>
      </c>
      <c r="G3" s="181"/>
      <c r="H3" s="181"/>
    </row>
    <row r="4" spans="1:8" ht="18" x14ac:dyDescent="0.25">
      <c r="A4" s="138" t="s">
        <v>329</v>
      </c>
      <c r="B4" s="148">
        <v>27.30021975609673</v>
      </c>
      <c r="C4" s="138" t="s">
        <v>326</v>
      </c>
      <c r="E4" s="82" t="s">
        <v>327</v>
      </c>
      <c r="F4" s="2">
        <v>100</v>
      </c>
      <c r="G4" s="2">
        <v>50</v>
      </c>
      <c r="H4" s="2">
        <v>20</v>
      </c>
    </row>
    <row r="5" spans="1:8" ht="18" x14ac:dyDescent="0.25">
      <c r="A5" s="141" t="s">
        <v>320</v>
      </c>
      <c r="B5" s="2" t="s">
        <v>331</v>
      </c>
      <c r="C5" s="10">
        <f xml:space="preserve"> -0.00000000000000007*$B$4^6 + 0.0000000000004*$B$4^5 - 0.0000000008*$B$4^4 + 0.0000007*$B$4^3 - 0.0003*$B$4^2 + 0.101*$B$4 + 4.2059</f>
        <v>6.7534360883927977</v>
      </c>
      <c r="E5" s="146">
        <v>1000</v>
      </c>
      <c r="F5" s="143">
        <v>33.618550847101453</v>
      </c>
      <c r="G5" s="144">
        <v>33.534986705450052</v>
      </c>
      <c r="H5" s="145">
        <v>33.732724807751353</v>
      </c>
    </row>
    <row r="6" spans="1:8" ht="18" x14ac:dyDescent="0.25">
      <c r="A6" s="141" t="s">
        <v>323</v>
      </c>
      <c r="B6" s="2" t="s">
        <v>328</v>
      </c>
      <c r="C6" s="142">
        <f>$H$5+(($B$4-$E$5)/($E$6-$E$5))*($H$6-$H$5)</f>
        <v>22.7525690794048</v>
      </c>
      <c r="E6" s="146">
        <v>3000</v>
      </c>
      <c r="F6" s="143">
        <v>56.106466436572433</v>
      </c>
      <c r="G6" s="144">
        <v>56.884436725883575</v>
      </c>
      <c r="H6" s="145">
        <v>56.309384022361833</v>
      </c>
    </row>
    <row r="7" spans="1:8" ht="18" x14ac:dyDescent="0.25">
      <c r="A7" s="141" t="s">
        <v>321</v>
      </c>
      <c r="B7" s="2" t="s">
        <v>330</v>
      </c>
      <c r="C7" s="10">
        <f>- -0.00000000001*$B$4^4 + 0.00000007*$B$4^3 - 0.0001*$B$4^2 + 0.0744*$B$4 + 4.573</f>
        <v>6.5310359883156739</v>
      </c>
      <c r="E7" s="140"/>
    </row>
    <row r="8" spans="1:8" ht="18" x14ac:dyDescent="0.25">
      <c r="A8" s="141" t="s">
        <v>324</v>
      </c>
      <c r="B8" s="2" t="s">
        <v>328</v>
      </c>
      <c r="C8" s="142">
        <f>$G$5+(($B$4-$E$5)/($E$6-$E$5))*($G$6-$G$5)</f>
        <v>22.178984253604206</v>
      </c>
      <c r="E8" s="140"/>
    </row>
    <row r="9" spans="1:8" ht="18" x14ac:dyDescent="0.25">
      <c r="A9" s="141" t="s">
        <v>322</v>
      </c>
      <c r="B9" s="2" t="s">
        <v>332</v>
      </c>
      <c r="C9" s="10">
        <f t="shared" ref="C9" si="0" xml:space="preserve"> -0.00000000000000009*$B$4^6 + 0.0000000000005*$B$4^5 - 0.0000000009*$B$4^4 + 0.0000007*$B$4^3 - 0.0003*$B$4^2 + 0.0958*$B$4 + 4.2422</f>
        <v>6.647720906333376</v>
      </c>
      <c r="E9" s="140"/>
    </row>
    <row r="10" spans="1:8" ht="18" x14ac:dyDescent="0.25">
      <c r="A10" s="141" t="s">
        <v>325</v>
      </c>
      <c r="B10" s="2" t="s">
        <v>328</v>
      </c>
      <c r="C10" s="142">
        <f>$F$5+(($B$4-$E$5)/($E$6-$E$5))*($F$6-$F$5)</f>
        <v>22.68155557109052</v>
      </c>
    </row>
    <row r="11" spans="1:8" ht="18" x14ac:dyDescent="0.25">
      <c r="A11" s="141" t="s">
        <v>309</v>
      </c>
      <c r="B11" s="2" t="s">
        <v>333</v>
      </c>
      <c r="C11" s="147">
        <f>0.00000000000000001*$B$4^4 -0.0000000000009*$B$4^3 + 0.00000009*$B$4^2 +0.0107*$B$4 + 24.048</f>
        <v>24.340179410263456</v>
      </c>
      <c r="D11" s="139"/>
    </row>
    <row r="12" spans="1:8" ht="18" x14ac:dyDescent="0.25">
      <c r="A12" s="141" t="s">
        <v>310</v>
      </c>
      <c r="B12" s="2" t="s">
        <v>334</v>
      </c>
      <c r="C12" s="147">
        <f>2E-32*$B$4^5 -5E-27*$B$4^4 + 0.0000000000008*$B$4^3 - 0.00000003*$B$4^2 +0.0109*$B$4 + 22.544</f>
        <v>22.841550052559018</v>
      </c>
    </row>
    <row r="13" spans="1:8" ht="18" x14ac:dyDescent="0.25">
      <c r="A13" s="141" t="s">
        <v>311</v>
      </c>
      <c r="B13" s="2" t="s">
        <v>335</v>
      </c>
      <c r="C13" s="147">
        <f>1E-32*$B$4^5 -4E-27*$B$4^4 + 0.0000000000006*$B$4^3 - 0.00000004*$B$4^2 +0.0085*$B$4 + 32.03</f>
        <v>32.262022068055018</v>
      </c>
    </row>
    <row r="14" spans="1:8" ht="18" x14ac:dyDescent="0.25">
      <c r="A14" s="141" t="s">
        <v>312</v>
      </c>
      <c r="B14" s="2" t="s">
        <v>336</v>
      </c>
      <c r="C14" s="147">
        <f>0.0000000000004*$B$4^3 - 0.00000004*$B$4^2 + 0.0062*$B$4 +  41.516</f>
        <v>41.685231558546612</v>
      </c>
      <c r="D14" s="139"/>
    </row>
    <row r="15" spans="1:8" ht="18" x14ac:dyDescent="0.25">
      <c r="A15" s="141" t="s">
        <v>313</v>
      </c>
      <c r="B15" s="2" t="s">
        <v>337</v>
      </c>
      <c r="C15" s="147">
        <f>5E-33*$B$4^5 -0.000000000000000003*$B$4^4 + 0.0000000000009*$B$4^3 - 0.00000009*$B$4^2 +0.0066*$B$4 + 39.91</f>
        <v>40.090114391520899</v>
      </c>
    </row>
    <row r="16" spans="1:8" ht="18" x14ac:dyDescent="0.25">
      <c r="A16" s="141" t="s">
        <v>314</v>
      </c>
      <c r="B16" s="2" t="s">
        <v>338</v>
      </c>
      <c r="C16" s="147">
        <f>- 0.000000000000000004*$B$4^4 + 0.000000000001*$B$4^3 - 0.0000001*$B$4^2 +0.0068*$B$4 + 39.285</f>
        <v>39.470566984486268</v>
      </c>
    </row>
    <row r="17" spans="1:5" ht="18" x14ac:dyDescent="0.25">
      <c r="A17" s="141" t="s">
        <v>315</v>
      </c>
      <c r="B17" s="2" t="s">
        <v>339</v>
      </c>
      <c r="C17" s="147">
        <f>1E-32*$B$4^5 - 0.0000000000000000009*$B$4^4 + 0.0000000000005*$B$4^3 - 0.00000005*$B$4^2 +0.0063*$B$4 + 41.161</f>
        <v>41.332954129536425</v>
      </c>
    </row>
    <row r="18" spans="1:5" ht="18" x14ac:dyDescent="0.25">
      <c r="A18" s="141" t="s">
        <v>316</v>
      </c>
      <c r="B18" s="2" t="s">
        <v>340</v>
      </c>
      <c r="C18" s="147">
        <f>9E-33*$B$4^5 -0.000000000000000002*$B$4^4 + 0.0000000000007*$B$4^3 - 0.00000007*$B$4^2 +0.0065*$B$4 + 40.536</f>
        <v>40.713399271516444</v>
      </c>
    </row>
    <row r="19" spans="1:5" ht="18" x14ac:dyDescent="0.25">
      <c r="A19" s="141" t="s">
        <v>317</v>
      </c>
      <c r="B19" s="2" t="s">
        <v>341</v>
      </c>
      <c r="C19" s="147">
        <f>2E-22*$B$4^5 -0.00000000000000006*$B$4^4 + 0.000000000006*$B$4^3 - 0.0000003*$B$4^2 +0.009*$B$4 + 31.99</f>
        <v>32.235478509253376</v>
      </c>
      <c r="D19" s="139"/>
      <c r="E19" s="140"/>
    </row>
    <row r="20" spans="1:5" ht="18" x14ac:dyDescent="0.25">
      <c r="A20" s="141" t="s">
        <v>318</v>
      </c>
      <c r="B20" s="2" t="s">
        <v>319</v>
      </c>
      <c r="C20" s="147">
        <f xml:space="preserve"> 0.0000000000003*$B$4^3 - 0.00000006*$B$4^2 +0.0055*$B$4 + 44.901</f>
        <v>45.051106496642682</v>
      </c>
    </row>
    <row r="21" spans="1:5" x14ac:dyDescent="0.25">
      <c r="D21" s="139"/>
      <c r="E21" s="140"/>
    </row>
  </sheetData>
  <mergeCells count="1">
    <mergeCell ref="F3:H3"/>
  </mergeCells>
  <phoneticPr fontId="20" type="noConversion"/>
  <pageMargins left="0.7" right="0.7" top="0.75" bottom="0.75" header="0.3" footer="0.3"/>
  <pageSetup orientation="portrait" horizontalDpi="90" verticalDpi="9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theme="0" tint="-0.249977111117893"/>
  </sheetPr>
  <dimension ref="A1:AI39"/>
  <sheetViews>
    <sheetView showGridLines="0" showRowColHeaders="0" workbookViewId="0">
      <pane xSplit="2" ySplit="1" topLeftCell="C2" activePane="bottomRight" state="frozen"/>
      <selection pane="topRight" activeCell="C1" sqref="C1"/>
      <selection pane="bottomLeft" activeCell="A2" sqref="A2"/>
      <selection pane="bottomRight" activeCell="AF6" sqref="AF6"/>
    </sheetView>
  </sheetViews>
  <sheetFormatPr defaultColWidth="9.140625" defaultRowHeight="15" x14ac:dyDescent="0.25"/>
  <cols>
    <col min="1" max="1" width="9.7109375" style="31" customWidth="1"/>
    <col min="2" max="2" width="10.5703125" style="31" customWidth="1"/>
    <col min="3" max="3" width="14" style="31" customWidth="1"/>
    <col min="4" max="4" width="24.85546875" style="31" customWidth="1"/>
    <col min="5" max="5" width="30.28515625" style="31" bestFit="1" customWidth="1"/>
    <col min="6" max="7" width="9.140625" customWidth="1"/>
    <col min="8" max="8" width="11.28515625" customWidth="1"/>
    <col min="9" max="9" width="11.42578125" customWidth="1"/>
    <col min="10" max="10" width="10.5703125" customWidth="1"/>
    <col min="11" max="11" width="12.42578125" style="31" customWidth="1"/>
    <col min="12" max="12" width="12.5703125" customWidth="1"/>
    <col min="13" max="13" width="11.140625" style="31" customWidth="1"/>
    <col min="14" max="14" width="9.140625" customWidth="1"/>
    <col min="15" max="15" width="15.28515625" customWidth="1"/>
    <col min="16" max="16" width="10.28515625" style="31" customWidth="1"/>
    <col min="17" max="17" width="11" customWidth="1"/>
    <col min="18" max="18" width="10.42578125" style="31" customWidth="1"/>
    <col min="19" max="19" width="12.5703125" style="31" customWidth="1"/>
    <col min="20" max="20" width="12.5703125" bestFit="1" customWidth="1"/>
    <col min="21" max="21" width="12.42578125" style="31" bestFit="1" customWidth="1"/>
    <col min="22" max="22" width="9.5703125" style="31" customWidth="1"/>
    <col min="23" max="23" width="11.42578125" style="31" bestFit="1" customWidth="1"/>
    <col min="24" max="24" width="12.85546875" customWidth="1"/>
    <col min="25" max="27" width="8.85546875"/>
    <col min="28" max="28" width="41.42578125" style="129" customWidth="1"/>
    <col min="29" max="29" width="16.5703125" bestFit="1" customWidth="1"/>
    <col min="30" max="31" width="8.85546875"/>
    <col min="32" max="32" width="88.85546875" bestFit="1" customWidth="1"/>
    <col min="33" max="33" width="8.85546875"/>
    <col min="34" max="34" width="12.42578125" customWidth="1"/>
    <col min="35" max="35" width="8.85546875"/>
    <col min="36" max="37" width="12.42578125" style="31" customWidth="1"/>
    <col min="38" max="38" width="18" style="31" bestFit="1" customWidth="1"/>
    <col min="39" max="39" width="9.7109375" style="31" customWidth="1"/>
    <col min="40" max="40" width="88.85546875" style="31" bestFit="1" customWidth="1"/>
    <col min="41" max="41" width="10.7109375" style="31" customWidth="1"/>
    <col min="42" max="43" width="9.140625" style="31" customWidth="1"/>
    <col min="44" max="44" width="13.7109375" style="31" customWidth="1"/>
    <col min="45" max="45" width="14.140625" style="31" customWidth="1"/>
    <col min="46" max="46" width="9.140625" style="31" customWidth="1"/>
    <col min="47" max="47" width="12.7109375" style="31" customWidth="1"/>
    <col min="48" max="48" width="13.7109375" style="31" customWidth="1"/>
    <col min="49" max="49" width="9.85546875" style="31" customWidth="1"/>
    <col min="50" max="16384" width="9.140625" style="31"/>
  </cols>
  <sheetData>
    <row r="1" spans="1:35" ht="60" x14ac:dyDescent="0.25">
      <c r="A1" s="32" t="s">
        <v>0</v>
      </c>
      <c r="B1" s="33" t="s">
        <v>6</v>
      </c>
      <c r="C1" s="33" t="s">
        <v>16</v>
      </c>
      <c r="D1" s="33" t="s">
        <v>218</v>
      </c>
      <c r="E1" s="33" t="s">
        <v>168</v>
      </c>
      <c r="F1" s="34" t="s">
        <v>60</v>
      </c>
      <c r="G1" s="34" t="s">
        <v>59</v>
      </c>
      <c r="H1" s="33" t="s">
        <v>10</v>
      </c>
      <c r="I1" s="33" t="s">
        <v>11</v>
      </c>
      <c r="J1" s="34" t="s">
        <v>45</v>
      </c>
      <c r="K1" s="34" t="s">
        <v>46</v>
      </c>
      <c r="L1" s="34" t="s">
        <v>270</v>
      </c>
      <c r="M1" s="33" t="s">
        <v>57</v>
      </c>
      <c r="N1" s="33" t="s">
        <v>65</v>
      </c>
      <c r="O1" s="35" t="s">
        <v>49</v>
      </c>
      <c r="P1" s="34" t="s">
        <v>205</v>
      </c>
      <c r="Q1" s="34" t="s">
        <v>216</v>
      </c>
      <c r="R1" s="33" t="s">
        <v>220</v>
      </c>
      <c r="S1" s="37" t="s">
        <v>222</v>
      </c>
      <c r="T1" s="33" t="s">
        <v>58</v>
      </c>
      <c r="U1" s="34" t="s">
        <v>7</v>
      </c>
      <c r="V1" s="34" t="s">
        <v>63</v>
      </c>
      <c r="W1" s="34" t="s">
        <v>62</v>
      </c>
      <c r="X1" s="34" t="s">
        <v>61</v>
      </c>
      <c r="Y1" s="34" t="s">
        <v>80</v>
      </c>
      <c r="Z1" s="34" t="s">
        <v>81</v>
      </c>
      <c r="AA1" s="36" t="s">
        <v>66</v>
      </c>
      <c r="AB1" s="33" t="s">
        <v>158</v>
      </c>
      <c r="AC1" s="33" t="s">
        <v>70</v>
      </c>
      <c r="AD1" s="33" t="s">
        <v>307</v>
      </c>
      <c r="AE1" s="31"/>
      <c r="AF1" s="31"/>
      <c r="AG1" s="31"/>
      <c r="AH1" s="31"/>
      <c r="AI1" s="31"/>
    </row>
    <row r="2" spans="1:35" ht="60" x14ac:dyDescent="0.25">
      <c r="A2" s="38" t="s">
        <v>1</v>
      </c>
      <c r="B2" s="39" t="s">
        <v>3</v>
      </c>
      <c r="C2" s="39" t="s">
        <v>14</v>
      </c>
      <c r="D2" s="97" t="s">
        <v>162</v>
      </c>
      <c r="E2" s="97" t="s">
        <v>162</v>
      </c>
      <c r="F2" s="41">
        <v>7.1999999999999995E-2</v>
      </c>
      <c r="G2" s="41"/>
      <c r="H2" s="41">
        <v>8.3000000000000007</v>
      </c>
      <c r="I2" s="41">
        <v>3.1</v>
      </c>
      <c r="J2" s="39">
        <v>18</v>
      </c>
      <c r="K2" s="39">
        <v>0.33</v>
      </c>
      <c r="L2" s="39">
        <v>59000</v>
      </c>
      <c r="M2" s="39">
        <v>37000</v>
      </c>
      <c r="N2" s="44">
        <v>36000</v>
      </c>
      <c r="O2" s="43">
        <v>7.0000000000000007E-2</v>
      </c>
      <c r="P2" s="39">
        <v>10800000</v>
      </c>
      <c r="Q2" s="39">
        <v>0.93</v>
      </c>
      <c r="R2" s="41">
        <v>0.81</v>
      </c>
      <c r="S2" s="45">
        <v>0.78010000000000002</v>
      </c>
      <c r="T2" s="41">
        <v>305</v>
      </c>
      <c r="U2" s="41" t="s">
        <v>8</v>
      </c>
      <c r="V2" s="41">
        <v>13.8</v>
      </c>
      <c r="W2" s="41">
        <v>7100</v>
      </c>
      <c r="X2" s="42">
        <v>-9000</v>
      </c>
      <c r="Y2" s="39">
        <v>6580</v>
      </c>
      <c r="Z2" s="44">
        <v>-700</v>
      </c>
      <c r="AA2" s="44">
        <v>80000</v>
      </c>
      <c r="AB2" s="40" t="s">
        <v>159</v>
      </c>
      <c r="AC2" s="128">
        <v>55000</v>
      </c>
      <c r="AD2" s="51">
        <v>56527.777777777774</v>
      </c>
      <c r="AE2" s="31"/>
      <c r="AF2" s="31"/>
      <c r="AG2" s="31"/>
      <c r="AH2" s="31"/>
      <c r="AI2" s="31"/>
    </row>
    <row r="3" spans="1:35" ht="60" x14ac:dyDescent="0.25">
      <c r="A3" s="38" t="s">
        <v>1</v>
      </c>
      <c r="B3" s="39" t="s">
        <v>3</v>
      </c>
      <c r="C3" s="39" t="s">
        <v>15</v>
      </c>
      <c r="D3" s="97" t="s">
        <v>163</v>
      </c>
      <c r="E3" s="97" t="s">
        <v>163</v>
      </c>
      <c r="F3" s="41">
        <v>7.1999999999999995E-2</v>
      </c>
      <c r="G3" s="41"/>
      <c r="H3" s="41"/>
      <c r="I3" s="41"/>
      <c r="J3" s="39">
        <v>18</v>
      </c>
      <c r="K3" s="39">
        <v>0.33</v>
      </c>
      <c r="L3" s="39">
        <v>59000</v>
      </c>
      <c r="M3" s="39">
        <v>37000</v>
      </c>
      <c r="N3" s="44">
        <v>36000</v>
      </c>
      <c r="O3" s="43">
        <v>7.0000000000000007E-2</v>
      </c>
      <c r="P3" s="39">
        <v>10800000</v>
      </c>
      <c r="Q3" s="39">
        <v>0.78</v>
      </c>
      <c r="R3" s="46">
        <v>0.4</v>
      </c>
      <c r="S3" s="47">
        <v>0.436</v>
      </c>
      <c r="T3" s="41">
        <v>530</v>
      </c>
      <c r="U3" s="41" t="s">
        <v>9</v>
      </c>
      <c r="V3" s="41">
        <v>13.1</v>
      </c>
      <c r="W3" s="41">
        <v>7100</v>
      </c>
      <c r="X3" s="41">
        <v>-6000</v>
      </c>
      <c r="Y3" s="39">
        <v>6580</v>
      </c>
      <c r="Z3" s="44">
        <v>-700</v>
      </c>
      <c r="AA3" s="44">
        <v>80000</v>
      </c>
      <c r="AB3" s="40" t="s">
        <v>159</v>
      </c>
      <c r="AC3" s="39">
        <v>55000</v>
      </c>
      <c r="AD3" s="51">
        <v>56527.777777777774</v>
      </c>
      <c r="AE3" s="31"/>
      <c r="AF3" s="31"/>
      <c r="AG3" s="31"/>
      <c r="AH3" s="31"/>
      <c r="AI3" s="31"/>
    </row>
    <row r="4" spans="1:35" x14ac:dyDescent="0.25">
      <c r="A4" s="38" t="s">
        <v>1</v>
      </c>
      <c r="B4" s="39" t="s">
        <v>4</v>
      </c>
      <c r="C4" s="39" t="s">
        <v>14</v>
      </c>
      <c r="D4" s="98" t="s">
        <v>164</v>
      </c>
      <c r="E4" s="98" t="s">
        <v>164</v>
      </c>
      <c r="F4" s="39">
        <v>6.4000000000000001E-2</v>
      </c>
      <c r="G4" s="39"/>
      <c r="H4" s="48"/>
      <c r="I4" s="48"/>
      <c r="J4" s="39">
        <v>18</v>
      </c>
      <c r="K4" s="39">
        <v>0.33</v>
      </c>
      <c r="L4" s="39">
        <v>59000</v>
      </c>
      <c r="M4" s="39">
        <v>37000</v>
      </c>
      <c r="N4" s="44">
        <v>36000</v>
      </c>
      <c r="O4" s="43">
        <v>7.0000000000000007E-2</v>
      </c>
      <c r="P4" s="39">
        <v>10800000</v>
      </c>
      <c r="Q4" s="39">
        <v>0.78</v>
      </c>
      <c r="R4" s="49">
        <v>0.4</v>
      </c>
      <c r="S4" s="47">
        <v>0.44500000000000001</v>
      </c>
      <c r="T4" s="39">
        <v>525</v>
      </c>
      <c r="U4" s="39" t="s">
        <v>9</v>
      </c>
      <c r="V4" s="39"/>
      <c r="W4" s="39">
        <v>10468</v>
      </c>
      <c r="X4" s="39">
        <v>-5495</v>
      </c>
      <c r="Y4" s="51">
        <v>6978.666666666667</v>
      </c>
      <c r="Z4" s="51">
        <v>-6978.666666666667</v>
      </c>
      <c r="AA4" s="44">
        <v>72000</v>
      </c>
      <c r="AB4" s="40" t="s">
        <v>160</v>
      </c>
      <c r="AC4" s="39">
        <v>55000</v>
      </c>
      <c r="AD4" s="51">
        <v>56527.777777777774</v>
      </c>
      <c r="AE4" s="31"/>
      <c r="AF4" s="31"/>
      <c r="AG4" s="31"/>
      <c r="AH4" s="31"/>
      <c r="AI4" s="31"/>
    </row>
    <row r="5" spans="1:35" x14ac:dyDescent="0.25">
      <c r="A5" s="38" t="s">
        <v>1</v>
      </c>
      <c r="B5" s="39" t="s">
        <v>4</v>
      </c>
      <c r="C5" s="39" t="s">
        <v>15</v>
      </c>
      <c r="D5" s="98" t="s">
        <v>165</v>
      </c>
      <c r="E5" s="98" t="s">
        <v>165</v>
      </c>
      <c r="F5" s="39">
        <v>6.4000000000000001E-2</v>
      </c>
      <c r="G5" s="39"/>
      <c r="H5" s="48"/>
      <c r="I5" s="48"/>
      <c r="J5" s="39">
        <v>18</v>
      </c>
      <c r="K5" s="39">
        <v>0.33</v>
      </c>
      <c r="L5" s="39">
        <v>59000</v>
      </c>
      <c r="M5" s="39">
        <v>37000</v>
      </c>
      <c r="N5" s="44">
        <v>36000</v>
      </c>
      <c r="O5" s="43">
        <v>7.0000000000000007E-2</v>
      </c>
      <c r="P5" s="39">
        <v>10800000</v>
      </c>
      <c r="Q5" s="39">
        <v>0.78</v>
      </c>
      <c r="R5" s="49">
        <v>0.4</v>
      </c>
      <c r="S5" s="47">
        <v>0.44500000000000001</v>
      </c>
      <c r="T5" s="39">
        <v>525</v>
      </c>
      <c r="U5" s="39" t="s">
        <v>9</v>
      </c>
      <c r="V5" s="39"/>
      <c r="W5" s="39">
        <v>16868</v>
      </c>
      <c r="X5" s="39">
        <v>-2052</v>
      </c>
      <c r="Y5" s="51">
        <v>11245.333333333334</v>
      </c>
      <c r="Z5" s="51">
        <v>-11245.333333333334</v>
      </c>
      <c r="AA5" s="44">
        <v>72000</v>
      </c>
      <c r="AB5" s="40" t="s">
        <v>160</v>
      </c>
      <c r="AC5" s="39">
        <v>55000</v>
      </c>
      <c r="AD5" s="51">
        <v>56527.777777777774</v>
      </c>
      <c r="AE5" s="31"/>
      <c r="AF5" s="31"/>
      <c r="AG5" s="31"/>
      <c r="AH5" s="31"/>
      <c r="AI5" s="31"/>
    </row>
    <row r="6" spans="1:35" ht="30" x14ac:dyDescent="0.25">
      <c r="A6" s="38" t="s">
        <v>2</v>
      </c>
      <c r="B6" s="39" t="s">
        <v>5</v>
      </c>
      <c r="C6" s="39" t="s">
        <v>14</v>
      </c>
      <c r="D6" s="98" t="s">
        <v>166</v>
      </c>
      <c r="E6" s="98" t="s">
        <v>169</v>
      </c>
      <c r="F6" s="39">
        <v>7.9000000000000001E-2</v>
      </c>
      <c r="G6" s="39"/>
      <c r="H6" s="48"/>
      <c r="I6" s="39">
        <v>9.4</v>
      </c>
      <c r="J6" s="39">
        <v>16</v>
      </c>
      <c r="K6" s="39">
        <v>0.33</v>
      </c>
      <c r="L6" s="39">
        <v>59000</v>
      </c>
      <c r="M6" s="39">
        <v>38000</v>
      </c>
      <c r="N6" s="44">
        <v>36000</v>
      </c>
      <c r="O6" s="43">
        <v>7.0000000000000007E-2</v>
      </c>
      <c r="P6" s="39">
        <v>10800000</v>
      </c>
      <c r="Q6" s="39">
        <v>0.97</v>
      </c>
      <c r="R6" s="49">
        <v>0.8</v>
      </c>
      <c r="S6" s="47">
        <v>0.86</v>
      </c>
      <c r="T6" s="39">
        <v>270</v>
      </c>
      <c r="U6" s="39" t="s">
        <v>8</v>
      </c>
      <c r="V6" s="39"/>
      <c r="W6" s="39">
        <v>10551</v>
      </c>
      <c r="X6" s="39">
        <v>-10634</v>
      </c>
      <c r="Y6" s="50">
        <f>Database[[#This Row],[Tension Stress, PSI]]*0.7/1.5</f>
        <v>4923.8</v>
      </c>
      <c r="Z6" s="51">
        <f>Database[[#This Row],[Compr Stress, PSI]]*0.7/1.5</f>
        <v>-4962.5333333333328</v>
      </c>
      <c r="AA6" s="39">
        <v>75000</v>
      </c>
      <c r="AB6" s="40" t="s">
        <v>161</v>
      </c>
      <c r="AC6" s="39">
        <v>55000</v>
      </c>
      <c r="AD6" s="51">
        <v>58055.555555555555</v>
      </c>
      <c r="AE6" s="31"/>
      <c r="AF6" s="31"/>
      <c r="AG6" s="31"/>
      <c r="AH6" s="31"/>
      <c r="AI6" s="31"/>
    </row>
    <row r="7" spans="1:35" s="119" customFormat="1" ht="45" x14ac:dyDescent="0.25">
      <c r="A7" s="52" t="s">
        <v>2</v>
      </c>
      <c r="B7" s="53" t="s">
        <v>5</v>
      </c>
      <c r="C7" s="53" t="s">
        <v>15</v>
      </c>
      <c r="D7" s="99" t="s">
        <v>167</v>
      </c>
      <c r="E7" s="99" t="s">
        <v>167</v>
      </c>
      <c r="F7" s="53">
        <v>7.9000000000000001E-2</v>
      </c>
      <c r="G7" s="53"/>
      <c r="H7" s="53"/>
      <c r="I7" s="53">
        <v>7.6</v>
      </c>
      <c r="J7" s="53">
        <v>16</v>
      </c>
      <c r="K7" s="53">
        <v>0.33</v>
      </c>
      <c r="L7" s="39">
        <v>59000</v>
      </c>
      <c r="M7" s="53">
        <v>38000</v>
      </c>
      <c r="N7" s="55">
        <v>36000</v>
      </c>
      <c r="O7" s="54">
        <v>7.0000000000000007E-2</v>
      </c>
      <c r="P7" s="53">
        <v>10800000</v>
      </c>
      <c r="Q7" s="53">
        <v>0.74</v>
      </c>
      <c r="R7" s="53">
        <v>0.3</v>
      </c>
      <c r="S7" s="57">
        <v>0.37</v>
      </c>
      <c r="T7" s="53">
        <v>600</v>
      </c>
      <c r="U7" s="53" t="s">
        <v>9</v>
      </c>
      <c r="V7" s="53"/>
      <c r="W7" s="53">
        <v>11566</v>
      </c>
      <c r="X7" s="53">
        <v>-11522</v>
      </c>
      <c r="Y7" s="56">
        <f>Database[[#This Row],[Tension Stress, PSI]]*0.7/1.5</f>
        <v>5397.4666666666662</v>
      </c>
      <c r="Z7" s="56">
        <v>-5376.9333333333334</v>
      </c>
      <c r="AA7" s="53">
        <v>75000</v>
      </c>
      <c r="AB7" s="40" t="s">
        <v>161</v>
      </c>
      <c r="AC7" s="39">
        <v>55000</v>
      </c>
      <c r="AD7" s="51">
        <v>58055.555555555555</v>
      </c>
    </row>
    <row r="8" spans="1:35" s="119" customFormat="1" ht="77.25" x14ac:dyDescent="0.25">
      <c r="A8" s="38" t="s">
        <v>223</v>
      </c>
      <c r="B8" s="39" t="s">
        <v>224</v>
      </c>
      <c r="C8" s="39" t="s">
        <v>15</v>
      </c>
      <c r="D8" s="98" t="s">
        <v>273</v>
      </c>
      <c r="E8" s="98" t="s">
        <v>273</v>
      </c>
      <c r="F8" s="39">
        <v>7.0999999999999994E-2</v>
      </c>
      <c r="G8" s="39"/>
      <c r="H8" s="39"/>
      <c r="I8" s="39">
        <v>5</v>
      </c>
      <c r="J8" s="39">
        <v>25</v>
      </c>
      <c r="K8" s="39">
        <v>0.33</v>
      </c>
      <c r="L8" s="39">
        <v>59000</v>
      </c>
      <c r="M8" s="39">
        <v>38000</v>
      </c>
      <c r="N8" s="55">
        <v>37000</v>
      </c>
      <c r="O8" s="43">
        <v>7.0000000000000007E-2</v>
      </c>
      <c r="P8" s="39">
        <v>10800000</v>
      </c>
      <c r="Q8" s="39">
        <v>0.93400000000000005</v>
      </c>
      <c r="R8" s="39">
        <v>0.74399999999999999</v>
      </c>
      <c r="S8" s="47">
        <v>0.79500000000000004</v>
      </c>
      <c r="T8" s="39">
        <v>331</v>
      </c>
      <c r="U8" s="39" t="s">
        <v>8</v>
      </c>
      <c r="V8" s="39"/>
      <c r="W8" s="39">
        <v>11790.71</v>
      </c>
      <c r="X8" s="39">
        <v>-22676.28</v>
      </c>
      <c r="Y8" s="51">
        <v>5502.3313333333326</v>
      </c>
      <c r="Z8" s="51">
        <v>-10582.263999999999</v>
      </c>
      <c r="AA8" s="39">
        <v>64000</v>
      </c>
      <c r="AB8" s="40" t="s">
        <v>226</v>
      </c>
      <c r="AC8" s="39">
        <v>55000</v>
      </c>
      <c r="AD8" s="51">
        <f>(Database[[#This Row],[Ftu, psi]]/Database[[#This Row],[Fty, PSI]])*Database[[#This Row],[Fcy, PSI]]</f>
        <v>56486.486486486487</v>
      </c>
    </row>
    <row r="9" spans="1:35" s="119" customFormat="1" ht="77.25" x14ac:dyDescent="0.25">
      <c r="A9" s="38" t="s">
        <v>223</v>
      </c>
      <c r="B9" s="39" t="s">
        <v>224</v>
      </c>
      <c r="C9" s="39" t="s">
        <v>14</v>
      </c>
      <c r="D9" s="98" t="s">
        <v>273</v>
      </c>
      <c r="E9" s="98" t="s">
        <v>273</v>
      </c>
      <c r="F9" s="39">
        <v>7.0999999999999994E-2</v>
      </c>
      <c r="G9" s="39"/>
      <c r="H9" s="39"/>
      <c r="I9" s="39">
        <v>5</v>
      </c>
      <c r="J9" s="39">
        <v>25</v>
      </c>
      <c r="K9" s="39">
        <v>0.33</v>
      </c>
      <c r="L9" s="39">
        <v>59000</v>
      </c>
      <c r="M9" s="39">
        <v>38000</v>
      </c>
      <c r="N9" s="44">
        <v>37000</v>
      </c>
      <c r="O9" s="43">
        <v>7.0000000000000007E-2</v>
      </c>
      <c r="P9" s="39">
        <v>10800000</v>
      </c>
      <c r="Q9" s="39">
        <v>0.93400000000000005</v>
      </c>
      <c r="R9" s="39">
        <v>0.74399999999999999</v>
      </c>
      <c r="S9" s="47">
        <v>0.79500000000000004</v>
      </c>
      <c r="T9" s="39">
        <v>331</v>
      </c>
      <c r="U9" s="39" t="s">
        <v>8</v>
      </c>
      <c r="V9" s="39"/>
      <c r="W9" s="39">
        <v>9224.77</v>
      </c>
      <c r="X9" s="39">
        <v>-27556.91</v>
      </c>
      <c r="Y9" s="51">
        <v>4304.8926666666666</v>
      </c>
      <c r="Z9" s="51">
        <v>-12859.891333333333</v>
      </c>
      <c r="AA9" s="39">
        <v>64000</v>
      </c>
      <c r="AB9" s="40" t="s">
        <v>226</v>
      </c>
      <c r="AC9" s="39">
        <v>55000</v>
      </c>
      <c r="AD9" s="51">
        <f>(Database[[#This Row],[Ftu, psi]]/Database[[#This Row],[Fty, PSI]])*Database[[#This Row],[Fcy, PSI]]</f>
        <v>56486.486486486487</v>
      </c>
    </row>
    <row r="10" spans="1:35" s="119" customFormat="1" ht="77.25" x14ac:dyDescent="0.25">
      <c r="A10" s="38" t="s">
        <v>227</v>
      </c>
      <c r="B10" s="39" t="s">
        <v>224</v>
      </c>
      <c r="C10" s="39" t="s">
        <v>15</v>
      </c>
      <c r="D10" s="98" t="s">
        <v>273</v>
      </c>
      <c r="E10" s="98" t="s">
        <v>273</v>
      </c>
      <c r="F10" s="39">
        <v>7.0999999999999994E-2</v>
      </c>
      <c r="G10" s="39"/>
      <c r="H10" s="39"/>
      <c r="I10" s="39">
        <v>5</v>
      </c>
      <c r="J10" s="39">
        <v>25</v>
      </c>
      <c r="K10" s="39">
        <v>0.33</v>
      </c>
      <c r="L10" s="39">
        <v>59000</v>
      </c>
      <c r="M10" s="39">
        <v>38000</v>
      </c>
      <c r="N10" s="55">
        <v>37000</v>
      </c>
      <c r="O10" s="43">
        <v>7.0000000000000007E-2</v>
      </c>
      <c r="P10" s="39">
        <v>10800000</v>
      </c>
      <c r="Q10" s="39">
        <v>0.93400000000000005</v>
      </c>
      <c r="R10" s="39">
        <v>0.74399999999999999</v>
      </c>
      <c r="S10" s="47">
        <v>0.79500000000000004</v>
      </c>
      <c r="T10" s="39">
        <v>331</v>
      </c>
      <c r="U10" s="39" t="s">
        <v>8</v>
      </c>
      <c r="V10" s="39"/>
      <c r="W10" s="39">
        <v>11790.71</v>
      </c>
      <c r="X10" s="39">
        <v>-22676.28</v>
      </c>
      <c r="Y10" s="51">
        <v>5502.3313333333326</v>
      </c>
      <c r="Z10" s="51">
        <v>-10582.263999999999</v>
      </c>
      <c r="AA10" s="39">
        <v>64000</v>
      </c>
      <c r="AB10" s="40" t="s">
        <v>226</v>
      </c>
      <c r="AC10" s="39">
        <v>55000</v>
      </c>
      <c r="AD10" s="51">
        <f>(Database[[#This Row],[Ftu, psi]]/Database[[#This Row],[Fty, PSI]])*Database[[#This Row],[Fcy, PSI]]</f>
        <v>56486.486486486487</v>
      </c>
    </row>
    <row r="11" spans="1:35" s="119" customFormat="1" ht="77.25" x14ac:dyDescent="0.25">
      <c r="A11" s="38" t="s">
        <v>227</v>
      </c>
      <c r="B11" s="39" t="s">
        <v>224</v>
      </c>
      <c r="C11" s="39" t="s">
        <v>14</v>
      </c>
      <c r="D11" s="98" t="s">
        <v>273</v>
      </c>
      <c r="E11" s="98" t="s">
        <v>273</v>
      </c>
      <c r="F11" s="39">
        <v>7.0999999999999994E-2</v>
      </c>
      <c r="G11" s="39"/>
      <c r="H11" s="39"/>
      <c r="I11" s="39">
        <v>5</v>
      </c>
      <c r="J11" s="39">
        <v>25</v>
      </c>
      <c r="K11" s="39">
        <v>0.33</v>
      </c>
      <c r="L11" s="39">
        <v>59000</v>
      </c>
      <c r="M11" s="39">
        <v>38000</v>
      </c>
      <c r="N11" s="55">
        <v>37000</v>
      </c>
      <c r="O11" s="43">
        <v>7.0000000000000007E-2</v>
      </c>
      <c r="P11" s="39">
        <v>10800000</v>
      </c>
      <c r="Q11" s="39">
        <v>0.93400000000000005</v>
      </c>
      <c r="R11" s="39">
        <v>0.74399999999999999</v>
      </c>
      <c r="S11" s="47">
        <v>0.79500000000000004</v>
      </c>
      <c r="T11" s="39">
        <v>331</v>
      </c>
      <c r="U11" s="39" t="s">
        <v>8</v>
      </c>
      <c r="V11" s="39"/>
      <c r="W11" s="39">
        <v>9224.77</v>
      </c>
      <c r="X11" s="39">
        <v>-27556.91</v>
      </c>
      <c r="Y11" s="51">
        <v>4304.8926666666666</v>
      </c>
      <c r="Z11" s="51">
        <v>-12859.891333333333</v>
      </c>
      <c r="AA11" s="39">
        <v>64000</v>
      </c>
      <c r="AB11" s="40" t="s">
        <v>226</v>
      </c>
      <c r="AC11" s="39">
        <v>55000</v>
      </c>
      <c r="AD11" s="51">
        <f>(Database[[#This Row],[Ftu, psi]]/Database[[#This Row],[Fty, PSI]])*Database[[#This Row],[Fcy, PSI]]</f>
        <v>56486.486486486487</v>
      </c>
    </row>
    <row r="12" spans="1:35" s="119" customFormat="1" ht="60" x14ac:dyDescent="0.25">
      <c r="A12" s="38" t="s">
        <v>1</v>
      </c>
      <c r="B12" s="39" t="s">
        <v>228</v>
      </c>
      <c r="C12" s="39" t="s">
        <v>15</v>
      </c>
      <c r="D12" s="98" t="s">
        <v>274</v>
      </c>
      <c r="E12" s="98" t="s">
        <v>275</v>
      </c>
      <c r="F12" s="39">
        <v>0.08</v>
      </c>
      <c r="G12" s="39"/>
      <c r="H12" s="39">
        <v>10.195</v>
      </c>
      <c r="I12" s="39">
        <v>3.367</v>
      </c>
      <c r="J12" s="39">
        <v>18</v>
      </c>
      <c r="K12" s="39">
        <v>0.33</v>
      </c>
      <c r="L12" s="39">
        <v>59000</v>
      </c>
      <c r="M12" s="39">
        <v>38000</v>
      </c>
      <c r="N12" s="55">
        <v>36000</v>
      </c>
      <c r="O12" s="43">
        <v>7.0000000000000007E-2</v>
      </c>
      <c r="P12" s="39">
        <v>10800000</v>
      </c>
      <c r="Q12" s="39">
        <v>0.93</v>
      </c>
      <c r="R12" s="39">
        <v>0.54</v>
      </c>
      <c r="S12" s="47">
        <v>0.37</v>
      </c>
      <c r="T12" s="39">
        <v>438</v>
      </c>
      <c r="U12" s="39" t="s">
        <v>8</v>
      </c>
      <c r="V12" s="39"/>
      <c r="W12" s="39">
        <v>7100</v>
      </c>
      <c r="X12" s="39">
        <v>-12438</v>
      </c>
      <c r="Y12" s="51">
        <v>3313.3333333333335</v>
      </c>
      <c r="Z12" s="51">
        <v>-5804.3999999999987</v>
      </c>
      <c r="AA12" s="39">
        <v>80000</v>
      </c>
      <c r="AB12" s="40" t="s">
        <v>230</v>
      </c>
      <c r="AC12" s="39">
        <v>55000</v>
      </c>
      <c r="AD12" s="51">
        <f>(Database[[#This Row],[Ftu, psi]]/Database[[#This Row],[Fty, PSI]])*Database[[#This Row],[Fcy, PSI]]</f>
        <v>58055.555555555555</v>
      </c>
    </row>
    <row r="13" spans="1:35" s="119" customFormat="1" ht="60" x14ac:dyDescent="0.25">
      <c r="A13" s="38" t="s">
        <v>1</v>
      </c>
      <c r="B13" s="39" t="s">
        <v>228</v>
      </c>
      <c r="C13" s="39" t="s">
        <v>14</v>
      </c>
      <c r="D13" s="98" t="s">
        <v>274</v>
      </c>
      <c r="E13" s="98" t="s">
        <v>275</v>
      </c>
      <c r="F13" s="39">
        <v>0.08</v>
      </c>
      <c r="G13" s="39"/>
      <c r="H13" s="39">
        <v>10.195</v>
      </c>
      <c r="I13" s="39">
        <v>3.367</v>
      </c>
      <c r="J13" s="39">
        <v>18</v>
      </c>
      <c r="K13" s="39">
        <v>0.33</v>
      </c>
      <c r="L13" s="39">
        <v>59000</v>
      </c>
      <c r="M13" s="39">
        <v>38000</v>
      </c>
      <c r="N13" s="55">
        <v>36000</v>
      </c>
      <c r="O13" s="43">
        <v>7.0000000000000007E-2</v>
      </c>
      <c r="P13" s="39">
        <v>10800000</v>
      </c>
      <c r="Q13" s="39">
        <v>0.93</v>
      </c>
      <c r="R13" s="39">
        <v>0.54</v>
      </c>
      <c r="S13" s="47">
        <v>0.37</v>
      </c>
      <c r="T13" s="39">
        <v>438</v>
      </c>
      <c r="U13" s="39" t="s">
        <v>8</v>
      </c>
      <c r="V13" s="39"/>
      <c r="W13" s="39">
        <v>7100</v>
      </c>
      <c r="X13" s="39">
        <v>-12438</v>
      </c>
      <c r="Y13" s="51">
        <v>3313.3333333333335</v>
      </c>
      <c r="Z13" s="51">
        <v>-5804.3999999999987</v>
      </c>
      <c r="AA13" s="39">
        <v>80000</v>
      </c>
      <c r="AB13" s="40" t="s">
        <v>230</v>
      </c>
      <c r="AC13" s="39">
        <v>55000</v>
      </c>
      <c r="AD13" s="51">
        <f>(Database[[#This Row],[Ftu, psi]]/Database[[#This Row],[Fty, PSI]])*Database[[#This Row],[Fcy, PSI]]</f>
        <v>58055.555555555555</v>
      </c>
    </row>
    <row r="14" spans="1:35" s="119" customFormat="1" ht="60" x14ac:dyDescent="0.25">
      <c r="A14" s="38" t="s">
        <v>231</v>
      </c>
      <c r="B14" s="39" t="s">
        <v>232</v>
      </c>
      <c r="C14" s="39" t="s">
        <v>15</v>
      </c>
      <c r="D14" s="98" t="s">
        <v>276</v>
      </c>
      <c r="E14" s="98" t="s">
        <v>276</v>
      </c>
      <c r="F14" s="39">
        <v>7.5999999999999998E-2</v>
      </c>
      <c r="G14" s="39"/>
      <c r="H14" s="39"/>
      <c r="I14" s="39"/>
      <c r="J14" s="39">
        <v>18</v>
      </c>
      <c r="K14" s="39">
        <v>0.33</v>
      </c>
      <c r="L14" s="39">
        <v>59000</v>
      </c>
      <c r="M14" s="39">
        <v>37000</v>
      </c>
      <c r="N14" s="55">
        <v>36000</v>
      </c>
      <c r="O14" s="43">
        <v>7.0000000000000007E-2</v>
      </c>
      <c r="P14" s="39">
        <v>10800000</v>
      </c>
      <c r="Q14" s="39">
        <v>0.75</v>
      </c>
      <c r="R14" s="39">
        <v>0.38</v>
      </c>
      <c r="S14" s="47">
        <v>0.41899999999999998</v>
      </c>
      <c r="T14" s="39">
        <v>550</v>
      </c>
      <c r="U14" s="39" t="s">
        <v>8</v>
      </c>
      <c r="V14" s="39">
        <v>16.73</v>
      </c>
      <c r="W14" s="39">
        <v>18234.752772635173</v>
      </c>
      <c r="X14" s="39">
        <v>-9335.1682851005498</v>
      </c>
      <c r="Y14" s="51">
        <v>8509.551293896413</v>
      </c>
      <c r="Z14" s="51">
        <v>-4356.4118663802565</v>
      </c>
      <c r="AA14" s="39">
        <v>60000</v>
      </c>
      <c r="AB14" s="40" t="s">
        <v>234</v>
      </c>
      <c r="AC14" s="39">
        <v>55000</v>
      </c>
      <c r="AD14" s="51">
        <f>(Database[[#This Row],[Ftu, psi]]/Database[[#This Row],[Fty, PSI]])*Database[[#This Row],[Fcy, PSI]]</f>
        <v>56527.777777777774</v>
      </c>
    </row>
    <row r="15" spans="1:35" s="119" customFormat="1" ht="60" x14ac:dyDescent="0.25">
      <c r="A15" s="38" t="s">
        <v>231</v>
      </c>
      <c r="B15" s="39" t="s">
        <v>232</v>
      </c>
      <c r="C15" s="39" t="s">
        <v>14</v>
      </c>
      <c r="D15" s="98" t="s">
        <v>276</v>
      </c>
      <c r="E15" s="98" t="s">
        <v>276</v>
      </c>
      <c r="F15" s="39">
        <v>7.5999999999999998E-2</v>
      </c>
      <c r="G15" s="39"/>
      <c r="H15" s="39"/>
      <c r="I15" s="39"/>
      <c r="J15" s="39">
        <v>18</v>
      </c>
      <c r="K15" s="39">
        <v>0.33</v>
      </c>
      <c r="L15" s="39">
        <v>59000</v>
      </c>
      <c r="M15" s="39">
        <v>37000</v>
      </c>
      <c r="N15" s="55">
        <v>36000</v>
      </c>
      <c r="O15" s="43">
        <v>7.0000000000000007E-2</v>
      </c>
      <c r="P15" s="39">
        <v>10800000</v>
      </c>
      <c r="Q15" s="39">
        <v>0.75</v>
      </c>
      <c r="R15" s="39">
        <v>0.38</v>
      </c>
      <c r="S15" s="47">
        <v>0.41899999999999998</v>
      </c>
      <c r="T15" s="39">
        <v>550</v>
      </c>
      <c r="U15" s="39" t="s">
        <v>8</v>
      </c>
      <c r="V15" s="39">
        <v>16.73</v>
      </c>
      <c r="W15" s="39">
        <v>18234.752772635173</v>
      </c>
      <c r="X15" s="39">
        <v>-9335.1682851005498</v>
      </c>
      <c r="Y15" s="51">
        <v>8509.551293896413</v>
      </c>
      <c r="Z15" s="51">
        <v>-4356.4118663802565</v>
      </c>
      <c r="AA15" s="39">
        <v>60000</v>
      </c>
      <c r="AB15" s="40" t="s">
        <v>234</v>
      </c>
      <c r="AC15" s="39">
        <v>55000</v>
      </c>
      <c r="AD15" s="51">
        <f>(Database[[#This Row],[Ftu, psi]]/Database[[#This Row],[Fty, PSI]])*Database[[#This Row],[Fcy, PSI]]</f>
        <v>56527.777777777774</v>
      </c>
    </row>
    <row r="16" spans="1:35" s="119" customFormat="1" ht="45" x14ac:dyDescent="0.25">
      <c r="A16" s="38" t="s">
        <v>231</v>
      </c>
      <c r="B16" s="39" t="s">
        <v>235</v>
      </c>
      <c r="C16" s="39" t="s">
        <v>15</v>
      </c>
      <c r="D16" s="98" t="s">
        <v>233</v>
      </c>
      <c r="E16" s="98" t="s">
        <v>276</v>
      </c>
      <c r="F16" s="39">
        <v>7.5999999999999998E-2</v>
      </c>
      <c r="G16" s="39"/>
      <c r="H16" s="39"/>
      <c r="I16" s="39"/>
      <c r="J16" s="39">
        <v>18</v>
      </c>
      <c r="K16" s="39">
        <v>0.33</v>
      </c>
      <c r="L16" s="39">
        <v>59000</v>
      </c>
      <c r="M16" s="39">
        <v>37000</v>
      </c>
      <c r="N16" s="44">
        <v>36000</v>
      </c>
      <c r="O16" s="43">
        <v>7.0000000000000007E-2</v>
      </c>
      <c r="P16" s="39">
        <v>10800000</v>
      </c>
      <c r="Q16" s="39">
        <v>0.75</v>
      </c>
      <c r="R16" s="39">
        <v>0.38</v>
      </c>
      <c r="S16" s="47">
        <v>0.41899999999999998</v>
      </c>
      <c r="T16" s="39">
        <v>550</v>
      </c>
      <c r="U16" s="39" t="s">
        <v>8</v>
      </c>
      <c r="V16" s="39">
        <v>16.73</v>
      </c>
      <c r="W16" s="39">
        <v>18234.752772635173</v>
      </c>
      <c r="X16" s="39">
        <v>-9335.1682851005498</v>
      </c>
      <c r="Y16" s="51">
        <v>8509.551293896413</v>
      </c>
      <c r="Z16" s="51">
        <v>-4356.4118663802565</v>
      </c>
      <c r="AA16" s="39">
        <v>60000</v>
      </c>
      <c r="AB16" s="40" t="s">
        <v>234</v>
      </c>
      <c r="AC16" s="39">
        <v>55000</v>
      </c>
      <c r="AD16" s="51">
        <f>(Database[[#This Row],[Ftu, psi]]/Database[[#This Row],[Fty, PSI]])*Database[[#This Row],[Fcy, PSI]]</f>
        <v>56527.777777777774</v>
      </c>
    </row>
    <row r="17" spans="1:30" s="119" customFormat="1" ht="60" x14ac:dyDescent="0.25">
      <c r="A17" s="38" t="s">
        <v>231</v>
      </c>
      <c r="B17" s="39" t="s">
        <v>235</v>
      </c>
      <c r="C17" s="39" t="s">
        <v>14</v>
      </c>
      <c r="D17" s="98" t="s">
        <v>276</v>
      </c>
      <c r="E17" s="98" t="s">
        <v>276</v>
      </c>
      <c r="F17" s="39">
        <v>7.5999999999999998E-2</v>
      </c>
      <c r="G17" s="39"/>
      <c r="H17" s="39"/>
      <c r="I17" s="39"/>
      <c r="J17" s="39">
        <v>18</v>
      </c>
      <c r="K17" s="39">
        <v>0.33</v>
      </c>
      <c r="L17" s="39">
        <v>59000</v>
      </c>
      <c r="M17" s="39">
        <v>37000</v>
      </c>
      <c r="N17" s="44">
        <v>36000</v>
      </c>
      <c r="O17" s="43">
        <v>7.0000000000000007E-2</v>
      </c>
      <c r="P17" s="39">
        <v>10800000</v>
      </c>
      <c r="Q17" s="39">
        <v>0.75</v>
      </c>
      <c r="R17" s="39">
        <v>0.38</v>
      </c>
      <c r="S17" s="47">
        <v>0.41899999999999998</v>
      </c>
      <c r="T17" s="39">
        <v>550</v>
      </c>
      <c r="U17" s="39" t="s">
        <v>8</v>
      </c>
      <c r="V17" s="39">
        <v>16.73</v>
      </c>
      <c r="W17" s="39">
        <v>18234.752772635173</v>
      </c>
      <c r="X17" s="39">
        <v>-9335.1682851005498</v>
      </c>
      <c r="Y17" s="51">
        <v>8509.551293896413</v>
      </c>
      <c r="Z17" s="51">
        <v>-4356.4118663802565</v>
      </c>
      <c r="AA17" s="39">
        <v>60000</v>
      </c>
      <c r="AB17" s="40" t="s">
        <v>234</v>
      </c>
      <c r="AC17" s="39">
        <v>55000</v>
      </c>
      <c r="AD17" s="51">
        <f>(Database[[#This Row],[Ftu, psi]]/Database[[#This Row],[Fty, PSI]])*Database[[#This Row],[Fcy, PSI]]</f>
        <v>56527.777777777774</v>
      </c>
    </row>
    <row r="18" spans="1:30" s="119" customFormat="1" x14ac:dyDescent="0.25">
      <c r="A18" s="38" t="s">
        <v>236</v>
      </c>
      <c r="B18" s="39" t="s">
        <v>237</v>
      </c>
      <c r="C18" s="39" t="s">
        <v>15</v>
      </c>
      <c r="D18" s="98" t="s">
        <v>277</v>
      </c>
      <c r="E18" s="98" t="s">
        <v>277</v>
      </c>
      <c r="F18" s="39">
        <v>6.3E-2</v>
      </c>
      <c r="G18" s="39"/>
      <c r="H18" s="39"/>
      <c r="I18" s="39">
        <v>5</v>
      </c>
      <c r="J18" s="39">
        <v>27</v>
      </c>
      <c r="K18" s="39">
        <v>0.3</v>
      </c>
      <c r="L18" s="39">
        <v>59000</v>
      </c>
      <c r="M18" s="39">
        <v>38000</v>
      </c>
      <c r="N18" s="44">
        <v>36000</v>
      </c>
      <c r="O18" s="43">
        <v>7.0000000000000007E-2</v>
      </c>
      <c r="P18" s="39">
        <v>10800000</v>
      </c>
      <c r="Q18" s="39">
        <v>0.77600000000000002</v>
      </c>
      <c r="R18" s="39">
        <v>0.37</v>
      </c>
      <c r="S18" s="47">
        <v>0.56000000000000005</v>
      </c>
      <c r="T18" s="39">
        <v>525</v>
      </c>
      <c r="U18" s="39" t="s">
        <v>8</v>
      </c>
      <c r="V18" s="39"/>
      <c r="W18" s="39">
        <v>1107</v>
      </c>
      <c r="X18" s="39">
        <v>-27344</v>
      </c>
      <c r="Y18" s="51">
        <v>516.6</v>
      </c>
      <c r="Z18" s="51">
        <v>-12760.533333333333</v>
      </c>
      <c r="AA18" s="39">
        <v>64000</v>
      </c>
      <c r="AB18" s="40" t="s">
        <v>239</v>
      </c>
      <c r="AC18" s="39">
        <v>55000</v>
      </c>
      <c r="AD18" s="51">
        <f>(Database[[#This Row],[Ftu, psi]]/Database[[#This Row],[Fty, PSI]])*Database[[#This Row],[Fcy, PSI]]</f>
        <v>58055.555555555555</v>
      </c>
    </row>
    <row r="19" spans="1:30" s="119" customFormat="1" x14ac:dyDescent="0.25">
      <c r="A19" s="38" t="s">
        <v>236</v>
      </c>
      <c r="B19" s="39" t="s">
        <v>237</v>
      </c>
      <c r="C19" s="39" t="s">
        <v>14</v>
      </c>
      <c r="D19" s="98" t="s">
        <v>277</v>
      </c>
      <c r="E19" s="98" t="s">
        <v>277</v>
      </c>
      <c r="F19" s="39">
        <v>6.3E-2</v>
      </c>
      <c r="G19" s="39"/>
      <c r="H19" s="39"/>
      <c r="I19" s="39">
        <v>5</v>
      </c>
      <c r="J19" s="39">
        <v>27</v>
      </c>
      <c r="K19" s="39">
        <v>0.3</v>
      </c>
      <c r="L19" s="39">
        <v>59000</v>
      </c>
      <c r="M19" s="39">
        <v>38000</v>
      </c>
      <c r="N19" s="44">
        <v>36000</v>
      </c>
      <c r="O19" s="43">
        <v>7.0000000000000007E-2</v>
      </c>
      <c r="P19" s="39">
        <v>10800000</v>
      </c>
      <c r="Q19" s="39">
        <v>0.77600000000000002</v>
      </c>
      <c r="R19" s="39">
        <v>0.37</v>
      </c>
      <c r="S19" s="47">
        <v>0.56000000000000005</v>
      </c>
      <c r="T19" s="39">
        <v>525</v>
      </c>
      <c r="U19" s="39" t="s">
        <v>8</v>
      </c>
      <c r="V19" s="39"/>
      <c r="W19" s="39">
        <v>1107</v>
      </c>
      <c r="X19" s="39">
        <v>-27344</v>
      </c>
      <c r="Y19" s="51">
        <v>516.6</v>
      </c>
      <c r="Z19" s="51">
        <v>-12760.533333333333</v>
      </c>
      <c r="AA19" s="39">
        <v>64000</v>
      </c>
      <c r="AB19" s="40" t="s">
        <v>239</v>
      </c>
      <c r="AC19" s="39">
        <v>55000</v>
      </c>
      <c r="AD19" s="51">
        <f>(Database[[#This Row],[Ftu, psi]]/Database[[#This Row],[Fty, PSI]])*Database[[#This Row],[Fcy, PSI]]</f>
        <v>58055.555555555555</v>
      </c>
    </row>
    <row r="20" spans="1:30" s="119" customFormat="1" x14ac:dyDescent="0.25">
      <c r="A20" s="38" t="s">
        <v>236</v>
      </c>
      <c r="B20" s="39" t="s">
        <v>240</v>
      </c>
      <c r="C20" s="39" t="s">
        <v>15</v>
      </c>
      <c r="D20" s="98" t="s">
        <v>277</v>
      </c>
      <c r="E20" s="98" t="s">
        <v>277</v>
      </c>
      <c r="F20" s="39">
        <v>6.3E-2</v>
      </c>
      <c r="G20" s="39"/>
      <c r="H20" s="39"/>
      <c r="I20" s="39">
        <v>5</v>
      </c>
      <c r="J20" s="39">
        <v>27</v>
      </c>
      <c r="K20" s="39">
        <v>0.3</v>
      </c>
      <c r="L20" s="39">
        <v>59000</v>
      </c>
      <c r="M20" s="39">
        <v>38000</v>
      </c>
      <c r="N20" s="44">
        <v>36000</v>
      </c>
      <c r="O20" s="43">
        <v>7.0000000000000007E-2</v>
      </c>
      <c r="P20" s="39">
        <v>10800000</v>
      </c>
      <c r="Q20" s="39">
        <v>0.77600000000000002</v>
      </c>
      <c r="R20" s="39">
        <v>0.37</v>
      </c>
      <c r="S20" s="47">
        <v>0.56000000000000005</v>
      </c>
      <c r="T20" s="39">
        <v>525</v>
      </c>
      <c r="U20" s="39" t="s">
        <v>8</v>
      </c>
      <c r="V20" s="39"/>
      <c r="W20" s="39">
        <v>1107</v>
      </c>
      <c r="X20" s="39">
        <v>-27344</v>
      </c>
      <c r="Y20" s="51">
        <v>516.6</v>
      </c>
      <c r="Z20" s="51">
        <v>-12760.533333333333</v>
      </c>
      <c r="AA20" s="39">
        <v>64000</v>
      </c>
      <c r="AB20" s="40" t="s">
        <v>239</v>
      </c>
      <c r="AC20" s="39">
        <v>55000</v>
      </c>
      <c r="AD20" s="51">
        <f>(Database[[#This Row],[Ftu, psi]]/Database[[#This Row],[Fty, PSI]])*Database[[#This Row],[Fcy, PSI]]</f>
        <v>58055.555555555555</v>
      </c>
    </row>
    <row r="21" spans="1:30" s="119" customFormat="1" x14ac:dyDescent="0.25">
      <c r="A21" s="38" t="s">
        <v>236</v>
      </c>
      <c r="B21" s="39" t="s">
        <v>240</v>
      </c>
      <c r="C21" s="39" t="s">
        <v>14</v>
      </c>
      <c r="D21" s="98" t="s">
        <v>277</v>
      </c>
      <c r="E21" s="98" t="s">
        <v>277</v>
      </c>
      <c r="F21" s="39">
        <v>6.3E-2</v>
      </c>
      <c r="G21" s="39"/>
      <c r="H21" s="39"/>
      <c r="I21" s="39">
        <v>5</v>
      </c>
      <c r="J21" s="39">
        <v>27</v>
      </c>
      <c r="K21" s="39">
        <v>0.3</v>
      </c>
      <c r="L21" s="39">
        <v>59000</v>
      </c>
      <c r="M21" s="39">
        <v>38000</v>
      </c>
      <c r="N21" s="44">
        <v>36000</v>
      </c>
      <c r="O21" s="43">
        <v>7.0000000000000007E-2</v>
      </c>
      <c r="P21" s="39">
        <v>10800000</v>
      </c>
      <c r="Q21" s="39">
        <v>0.77600000000000002</v>
      </c>
      <c r="R21" s="39">
        <v>0.37</v>
      </c>
      <c r="S21" s="47">
        <v>0.56000000000000005</v>
      </c>
      <c r="T21" s="39">
        <v>525</v>
      </c>
      <c r="U21" s="39" t="s">
        <v>8</v>
      </c>
      <c r="V21" s="39"/>
      <c r="W21" s="39">
        <v>1107</v>
      </c>
      <c r="X21" s="39">
        <v>-27344</v>
      </c>
      <c r="Y21" s="51">
        <v>516.6</v>
      </c>
      <c r="Z21" s="51">
        <v>-12760.533333333333</v>
      </c>
      <c r="AA21" s="39">
        <v>64000</v>
      </c>
      <c r="AB21" s="40" t="s">
        <v>239</v>
      </c>
      <c r="AC21" s="39">
        <v>55000</v>
      </c>
      <c r="AD21" s="51">
        <f>(Database[[#This Row],[Ftu, psi]]/Database[[#This Row],[Fty, PSI]])*Database[[#This Row],[Fcy, PSI]]</f>
        <v>58055.555555555555</v>
      </c>
    </row>
    <row r="22" spans="1:30" s="119" customFormat="1" x14ac:dyDescent="0.25">
      <c r="A22" s="38" t="s">
        <v>241</v>
      </c>
      <c r="B22" s="39" t="s">
        <v>224</v>
      </c>
      <c r="C22" s="39" t="s">
        <v>15</v>
      </c>
      <c r="D22" s="98" t="s">
        <v>278</v>
      </c>
      <c r="E22" s="98" t="s">
        <v>278</v>
      </c>
      <c r="F22" s="39">
        <v>0.08</v>
      </c>
      <c r="G22" s="39"/>
      <c r="H22" s="39"/>
      <c r="I22" s="39">
        <v>5</v>
      </c>
      <c r="J22" s="39">
        <v>18</v>
      </c>
      <c r="K22" s="39">
        <v>0.3</v>
      </c>
      <c r="L22" s="39">
        <v>59000</v>
      </c>
      <c r="M22" s="39">
        <v>38000</v>
      </c>
      <c r="N22" s="44">
        <v>36000</v>
      </c>
      <c r="O22" s="43">
        <v>7.0000000000000007E-2</v>
      </c>
      <c r="P22" s="39">
        <v>10800000</v>
      </c>
      <c r="Q22" s="39">
        <v>0.76700000000000002</v>
      </c>
      <c r="R22" s="39">
        <v>0.34200000000000003</v>
      </c>
      <c r="S22" s="47">
        <v>0.436</v>
      </c>
      <c r="T22" s="39">
        <v>535</v>
      </c>
      <c r="U22" s="39" t="s">
        <v>8</v>
      </c>
      <c r="V22" s="39"/>
      <c r="W22" s="39">
        <v>0</v>
      </c>
      <c r="X22" s="39">
        <v>-10942</v>
      </c>
      <c r="Y22" s="51">
        <f>Database[[#This Row],[Min. Fat Stress, psi]]*-1</f>
        <v>5106.2666666666664</v>
      </c>
      <c r="Z22" s="51">
        <v>-5106.2666666666664</v>
      </c>
      <c r="AA22" s="39">
        <v>64000</v>
      </c>
      <c r="AB22" s="40" t="s">
        <v>243</v>
      </c>
      <c r="AC22" s="39">
        <v>55000</v>
      </c>
      <c r="AD22" s="51">
        <f>(Database[[#This Row],[Ftu, psi]]/Database[[#This Row],[Fty, PSI]])*Database[[#This Row],[Fcy, PSI]]</f>
        <v>58055.555555555555</v>
      </c>
    </row>
    <row r="23" spans="1:30" s="119" customFormat="1" x14ac:dyDescent="0.25">
      <c r="A23" s="38" t="s">
        <v>241</v>
      </c>
      <c r="B23" s="39" t="s">
        <v>224</v>
      </c>
      <c r="C23" s="39" t="s">
        <v>14</v>
      </c>
      <c r="D23" s="98" t="s">
        <v>278</v>
      </c>
      <c r="E23" s="98" t="s">
        <v>278</v>
      </c>
      <c r="F23" s="39">
        <v>0.08</v>
      </c>
      <c r="G23" s="39"/>
      <c r="H23" s="39"/>
      <c r="I23" s="39">
        <v>5</v>
      </c>
      <c r="J23" s="39">
        <v>18</v>
      </c>
      <c r="K23" s="39">
        <v>0.3</v>
      </c>
      <c r="L23" s="39">
        <v>59000</v>
      </c>
      <c r="M23" s="39">
        <v>38000</v>
      </c>
      <c r="N23" s="44">
        <v>36000</v>
      </c>
      <c r="O23" s="43">
        <v>7.0000000000000007E-2</v>
      </c>
      <c r="P23" s="39">
        <v>10800000</v>
      </c>
      <c r="Q23" s="39">
        <v>0.76700000000000002</v>
      </c>
      <c r="R23" s="39">
        <v>0.34200000000000003</v>
      </c>
      <c r="S23" s="47">
        <v>0.436</v>
      </c>
      <c r="T23" s="39">
        <v>535</v>
      </c>
      <c r="U23" s="39" t="s">
        <v>8</v>
      </c>
      <c r="V23" s="39"/>
      <c r="W23" s="39">
        <v>0</v>
      </c>
      <c r="X23" s="39">
        <v>-10942</v>
      </c>
      <c r="Y23" s="51">
        <f>Database[[#This Row],[Min. Fat Stress, psi]]*-1</f>
        <v>5106.2666666666664</v>
      </c>
      <c r="Z23" s="51">
        <v>-5106.2666666666664</v>
      </c>
      <c r="AA23" s="39">
        <v>64000</v>
      </c>
      <c r="AB23" s="40" t="s">
        <v>243</v>
      </c>
      <c r="AC23" s="39">
        <v>55000</v>
      </c>
      <c r="AD23" s="51">
        <f>(Database[[#This Row],[Ftu, psi]]/Database[[#This Row],[Fty, PSI]])*Database[[#This Row],[Fcy, PSI]]</f>
        <v>58055.555555555555</v>
      </c>
    </row>
    <row r="24" spans="1:30" s="119" customFormat="1" x14ac:dyDescent="0.25">
      <c r="A24" s="38" t="s">
        <v>236</v>
      </c>
      <c r="B24" s="39" t="s">
        <v>224</v>
      </c>
      <c r="C24" s="39" t="s">
        <v>15</v>
      </c>
      <c r="D24" s="98" t="s">
        <v>278</v>
      </c>
      <c r="E24" s="98" t="s">
        <v>278</v>
      </c>
      <c r="F24" s="39">
        <v>0.08</v>
      </c>
      <c r="G24" s="39"/>
      <c r="H24" s="39"/>
      <c r="I24" s="39">
        <v>5</v>
      </c>
      <c r="J24" s="39">
        <v>18</v>
      </c>
      <c r="K24" s="39">
        <v>0.3</v>
      </c>
      <c r="L24" s="39">
        <v>59000</v>
      </c>
      <c r="M24" s="39">
        <v>38000</v>
      </c>
      <c r="N24" s="55">
        <v>36000</v>
      </c>
      <c r="O24" s="43">
        <v>7.0000000000000007E-2</v>
      </c>
      <c r="P24" s="39">
        <v>10800000</v>
      </c>
      <c r="Q24" s="39">
        <v>0.76700000000000002</v>
      </c>
      <c r="R24" s="39">
        <v>0.34200000000000003</v>
      </c>
      <c r="S24" s="47">
        <v>0.436</v>
      </c>
      <c r="T24" s="39">
        <v>535</v>
      </c>
      <c r="U24" s="39" t="s">
        <v>8</v>
      </c>
      <c r="V24" s="39"/>
      <c r="W24" s="39">
        <v>0</v>
      </c>
      <c r="X24" s="39">
        <v>-10942</v>
      </c>
      <c r="Y24" s="51">
        <f>Database[[#This Row],[Min. Fat Stress, psi]]*-1</f>
        <v>5106.2666666666664</v>
      </c>
      <c r="Z24" s="51">
        <v>-5106.2666666666664</v>
      </c>
      <c r="AA24" s="39">
        <v>64000</v>
      </c>
      <c r="AB24" s="40" t="s">
        <v>243</v>
      </c>
      <c r="AC24" s="39">
        <v>55000</v>
      </c>
      <c r="AD24" s="51">
        <f>(Database[[#This Row],[Ftu, psi]]/Database[[#This Row],[Fty, PSI]])*Database[[#This Row],[Fcy, PSI]]</f>
        <v>58055.555555555555</v>
      </c>
    </row>
    <row r="25" spans="1:30" s="119" customFormat="1" x14ac:dyDescent="0.25">
      <c r="A25" s="38" t="s">
        <v>236</v>
      </c>
      <c r="B25" s="39" t="s">
        <v>224</v>
      </c>
      <c r="C25" s="39" t="s">
        <v>14</v>
      </c>
      <c r="D25" s="98" t="s">
        <v>278</v>
      </c>
      <c r="E25" s="98" t="s">
        <v>278</v>
      </c>
      <c r="F25" s="39">
        <v>0.08</v>
      </c>
      <c r="G25" s="39"/>
      <c r="H25" s="39"/>
      <c r="I25" s="39">
        <v>5</v>
      </c>
      <c r="J25" s="39">
        <v>18</v>
      </c>
      <c r="K25" s="39">
        <v>0.3</v>
      </c>
      <c r="L25" s="39">
        <v>59000</v>
      </c>
      <c r="M25" s="39">
        <v>38000</v>
      </c>
      <c r="N25" s="55">
        <v>36000</v>
      </c>
      <c r="O25" s="43">
        <v>7.0000000000000007E-2</v>
      </c>
      <c r="P25" s="39">
        <v>10800000</v>
      </c>
      <c r="Q25" s="39">
        <v>0.76700000000000002</v>
      </c>
      <c r="R25" s="39">
        <v>0.34200000000000003</v>
      </c>
      <c r="S25" s="47">
        <v>0.436</v>
      </c>
      <c r="T25" s="39">
        <v>535</v>
      </c>
      <c r="U25" s="39" t="s">
        <v>8</v>
      </c>
      <c r="V25" s="39"/>
      <c r="W25" s="39">
        <v>0</v>
      </c>
      <c r="X25" s="39">
        <v>-10942</v>
      </c>
      <c r="Y25" s="51">
        <f>Database[[#This Row],[Min. Fat Stress, psi]]*-1</f>
        <v>5106.2666666666664</v>
      </c>
      <c r="Z25" s="51">
        <v>-5106.2666666666664</v>
      </c>
      <c r="AA25" s="39">
        <v>64000</v>
      </c>
      <c r="AB25" s="40" t="s">
        <v>243</v>
      </c>
      <c r="AC25" s="39">
        <v>55000</v>
      </c>
      <c r="AD25" s="51">
        <f>(Database[[#This Row],[Ftu, psi]]/Database[[#This Row],[Fty, PSI]])*Database[[#This Row],[Fcy, PSI]]</f>
        <v>58055.555555555555</v>
      </c>
    </row>
    <row r="26" spans="1:30" s="119" customFormat="1" x14ac:dyDescent="0.25">
      <c r="A26" s="38" t="s">
        <v>244</v>
      </c>
      <c r="B26" s="39" t="s">
        <v>224</v>
      </c>
      <c r="C26" s="39" t="s">
        <v>15</v>
      </c>
      <c r="D26" s="98" t="s">
        <v>279</v>
      </c>
      <c r="E26" s="98" t="s">
        <v>279</v>
      </c>
      <c r="F26" s="39">
        <v>7.0999999999999994E-2</v>
      </c>
      <c r="G26" s="39"/>
      <c r="H26" s="39"/>
      <c r="I26" s="39">
        <v>5</v>
      </c>
      <c r="J26" s="39">
        <v>27</v>
      </c>
      <c r="K26" s="39">
        <v>0.33</v>
      </c>
      <c r="L26" s="39">
        <v>59000</v>
      </c>
      <c r="M26" s="39">
        <v>38000</v>
      </c>
      <c r="N26" s="55">
        <v>37000</v>
      </c>
      <c r="O26" s="43">
        <v>7.0000000000000007E-2</v>
      </c>
      <c r="P26" s="39">
        <v>10800000</v>
      </c>
      <c r="Q26" s="39">
        <v>0.95399999999999996</v>
      </c>
      <c r="R26" s="39">
        <v>0.8</v>
      </c>
      <c r="S26" s="47">
        <v>0.83399999999999996</v>
      </c>
      <c r="T26" s="39">
        <v>300</v>
      </c>
      <c r="U26" s="39" t="s">
        <v>8</v>
      </c>
      <c r="V26" s="39">
        <v>3.44</v>
      </c>
      <c r="W26" s="39">
        <v>9859.17</v>
      </c>
      <c r="X26" s="39">
        <v>-20080.5</v>
      </c>
      <c r="Y26" s="51">
        <v>4600.9459999999999</v>
      </c>
      <c r="Z26" s="51">
        <v>-9370.9</v>
      </c>
      <c r="AA26" s="39">
        <v>64000</v>
      </c>
      <c r="AB26" s="40" t="s">
        <v>246</v>
      </c>
      <c r="AC26" s="39">
        <v>55000</v>
      </c>
      <c r="AD26" s="51">
        <f>(Database[[#This Row],[Ftu, psi]]/Database[[#This Row],[Fty, PSI]])*Database[[#This Row],[Fcy, PSI]]</f>
        <v>56486.486486486487</v>
      </c>
    </row>
    <row r="27" spans="1:30" s="119" customFormat="1" x14ac:dyDescent="0.25">
      <c r="A27" s="38" t="s">
        <v>244</v>
      </c>
      <c r="B27" s="39" t="s">
        <v>224</v>
      </c>
      <c r="C27" s="39" t="s">
        <v>14</v>
      </c>
      <c r="D27" s="98" t="s">
        <v>279</v>
      </c>
      <c r="E27" s="98" t="s">
        <v>279</v>
      </c>
      <c r="F27" s="39">
        <v>7.0999999999999994E-2</v>
      </c>
      <c r="G27" s="39"/>
      <c r="H27" s="39"/>
      <c r="I27" s="39">
        <v>5</v>
      </c>
      <c r="J27" s="39">
        <v>27</v>
      </c>
      <c r="K27" s="39">
        <v>0.33</v>
      </c>
      <c r="L27" s="39">
        <v>59000</v>
      </c>
      <c r="M27" s="39">
        <v>38000</v>
      </c>
      <c r="N27" s="55">
        <v>37000</v>
      </c>
      <c r="O27" s="43">
        <v>7.0000000000000007E-2</v>
      </c>
      <c r="P27" s="39">
        <v>10800000</v>
      </c>
      <c r="Q27" s="39">
        <v>0.95399999999999996</v>
      </c>
      <c r="R27" s="39">
        <v>0.8</v>
      </c>
      <c r="S27" s="47">
        <v>0.83399999999999996</v>
      </c>
      <c r="T27" s="39">
        <v>300</v>
      </c>
      <c r="U27" s="39" t="s">
        <v>8</v>
      </c>
      <c r="V27" s="39">
        <v>3.44</v>
      </c>
      <c r="W27" s="39">
        <v>7719.82</v>
      </c>
      <c r="X27" s="39">
        <v>-27132.14</v>
      </c>
      <c r="Y27" s="51">
        <v>3602.5826666666667</v>
      </c>
      <c r="Z27" s="51">
        <v>-12661.665333333332</v>
      </c>
      <c r="AA27" s="39">
        <v>64000</v>
      </c>
      <c r="AB27" s="40" t="s">
        <v>246</v>
      </c>
      <c r="AC27" s="39">
        <v>55000</v>
      </c>
      <c r="AD27" s="51">
        <f>(Database[[#This Row],[Ftu, psi]]/Database[[#This Row],[Fty, PSI]])*Database[[#This Row],[Fcy, PSI]]</f>
        <v>56486.486486486487</v>
      </c>
    </row>
    <row r="28" spans="1:30" s="119" customFormat="1" ht="62.25" x14ac:dyDescent="0.25">
      <c r="A28" s="38" t="s">
        <v>247</v>
      </c>
      <c r="B28" s="39" t="s">
        <v>248</v>
      </c>
      <c r="C28" s="39" t="s">
        <v>15</v>
      </c>
      <c r="D28" s="98" t="s">
        <v>280</v>
      </c>
      <c r="E28" s="98" t="s">
        <v>281</v>
      </c>
      <c r="F28" s="39">
        <v>0.08</v>
      </c>
      <c r="G28" s="39"/>
      <c r="H28" s="39"/>
      <c r="I28" s="39"/>
      <c r="J28" s="39">
        <v>32.5</v>
      </c>
      <c r="K28" s="39">
        <v>0.33</v>
      </c>
      <c r="L28" s="39">
        <v>59000</v>
      </c>
      <c r="M28" s="39">
        <v>38000</v>
      </c>
      <c r="N28" s="55">
        <v>37000</v>
      </c>
      <c r="O28" s="43">
        <v>7.0000000000000007E-2</v>
      </c>
      <c r="P28" s="39">
        <v>10800000</v>
      </c>
      <c r="Q28" s="39">
        <v>0.83599999999999997</v>
      </c>
      <c r="R28" s="39">
        <v>0.51200000000000001</v>
      </c>
      <c r="S28" s="47">
        <v>0.72</v>
      </c>
      <c r="T28" s="39">
        <v>460</v>
      </c>
      <c r="U28" s="39" t="s">
        <v>8</v>
      </c>
      <c r="V28" s="39"/>
      <c r="W28" s="39">
        <v>2073.375</v>
      </c>
      <c r="X28" s="39">
        <v>-16725.75</v>
      </c>
      <c r="Y28" s="51">
        <v>26510</v>
      </c>
      <c r="Z28" s="51">
        <v>9090</v>
      </c>
      <c r="AA28" s="39">
        <v>40000</v>
      </c>
      <c r="AB28" s="40" t="s">
        <v>251</v>
      </c>
      <c r="AC28" s="39">
        <v>55000</v>
      </c>
      <c r="AD28" s="51">
        <f>(Database[[#This Row],[Ftu, psi]]/Database[[#This Row],[Fty, PSI]])*Database[[#This Row],[Fcy, PSI]]</f>
        <v>56486.486486486487</v>
      </c>
    </row>
    <row r="29" spans="1:30" s="119" customFormat="1" ht="60" x14ac:dyDescent="0.25">
      <c r="A29" s="38" t="s">
        <v>247</v>
      </c>
      <c r="B29" s="39" t="s">
        <v>248</v>
      </c>
      <c r="C29" s="39" t="s">
        <v>14</v>
      </c>
      <c r="D29" s="98" t="s">
        <v>282</v>
      </c>
      <c r="E29" s="98" t="s">
        <v>283</v>
      </c>
      <c r="F29" s="39">
        <v>0.08</v>
      </c>
      <c r="G29" s="39"/>
      <c r="H29" s="39"/>
      <c r="I29" s="39"/>
      <c r="J29" s="39">
        <v>32.5</v>
      </c>
      <c r="K29" s="39">
        <v>0.33</v>
      </c>
      <c r="L29" s="39">
        <v>59000</v>
      </c>
      <c r="M29" s="39">
        <v>38000</v>
      </c>
      <c r="N29" s="44">
        <v>37000</v>
      </c>
      <c r="O29" s="43">
        <v>7.0000000000000007E-2</v>
      </c>
      <c r="P29" s="39">
        <v>10800000</v>
      </c>
      <c r="Q29" s="39">
        <v>0.83599999999999997</v>
      </c>
      <c r="R29" s="39">
        <v>0.51200000000000001</v>
      </c>
      <c r="S29" s="47">
        <v>0.72</v>
      </c>
      <c r="T29" s="39">
        <v>460</v>
      </c>
      <c r="U29" s="39" t="s">
        <v>8</v>
      </c>
      <c r="V29" s="39"/>
      <c r="W29" s="39">
        <v>2073.375</v>
      </c>
      <c r="X29" s="39">
        <v>-16725.75</v>
      </c>
      <c r="Y29" s="51">
        <v>26510</v>
      </c>
      <c r="Z29" s="51">
        <v>9090</v>
      </c>
      <c r="AA29" s="39">
        <v>40000</v>
      </c>
      <c r="AB29" s="40" t="s">
        <v>251</v>
      </c>
      <c r="AC29" s="39">
        <v>55000</v>
      </c>
      <c r="AD29" s="51">
        <f>(Database[[#This Row],[Ftu, psi]]/Database[[#This Row],[Fty, PSI]])*Database[[#This Row],[Fcy, PSI]]</f>
        <v>56486.486486486487</v>
      </c>
    </row>
    <row r="30" spans="1:30" s="119" customFormat="1" ht="45" x14ac:dyDescent="0.25">
      <c r="A30" s="121" t="s">
        <v>241</v>
      </c>
      <c r="B30" s="121" t="s">
        <v>255</v>
      </c>
      <c r="C30" s="121" t="s">
        <v>14</v>
      </c>
      <c r="D30" s="118"/>
      <c r="E30" s="118" t="s">
        <v>284</v>
      </c>
      <c r="F30" s="121">
        <v>6.3E-2</v>
      </c>
      <c r="G30" s="121"/>
      <c r="H30" s="121"/>
      <c r="I30" s="121">
        <v>4.2</v>
      </c>
      <c r="J30" s="121">
        <v>18</v>
      </c>
      <c r="K30" s="121">
        <v>0.33</v>
      </c>
      <c r="L30" s="39">
        <v>59000</v>
      </c>
      <c r="M30" s="121">
        <v>37000</v>
      </c>
      <c r="N30" s="121">
        <v>37000</v>
      </c>
      <c r="O30" s="121">
        <v>7.0000000000000007E-2</v>
      </c>
      <c r="P30" s="121">
        <v>10800000</v>
      </c>
      <c r="Q30" s="121">
        <v>0.82</v>
      </c>
      <c r="R30" s="121">
        <v>0.46</v>
      </c>
      <c r="S30" s="121">
        <v>0.5</v>
      </c>
      <c r="T30" s="121">
        <v>480</v>
      </c>
      <c r="U30" s="121" t="s">
        <v>8</v>
      </c>
      <c r="V30" s="121"/>
      <c r="W30" s="121">
        <v>0</v>
      </c>
      <c r="X30" s="121">
        <v>-14667</v>
      </c>
      <c r="Y30" s="51">
        <f>Database[[#This Row],[Min. Fat Stress, psi]]*-1</f>
        <v>6844.5999999999995</v>
      </c>
      <c r="Z30" s="120">
        <v>-6844.5999999999995</v>
      </c>
      <c r="AA30" s="121">
        <v>40000</v>
      </c>
      <c r="AB30" s="77" t="s">
        <v>256</v>
      </c>
      <c r="AC30" s="39">
        <v>55000</v>
      </c>
      <c r="AD30" s="51">
        <f>(Database[[#This Row],[Ftu, psi]]/Database[[#This Row],[Fty, PSI]])*Database[[#This Row],[Fcy, PSI]]</f>
        <v>55000</v>
      </c>
    </row>
    <row r="31" spans="1:30" ht="45" x14ac:dyDescent="0.25">
      <c r="A31" s="122" t="s">
        <v>241</v>
      </c>
      <c r="B31" s="41" t="s">
        <v>255</v>
      </c>
      <c r="C31" s="41" t="s">
        <v>15</v>
      </c>
      <c r="D31" s="123"/>
      <c r="E31" s="123" t="s">
        <v>284</v>
      </c>
      <c r="F31" s="41">
        <v>6.3E-2</v>
      </c>
      <c r="G31" s="41"/>
      <c r="H31" s="41"/>
      <c r="I31" s="41">
        <v>4.2</v>
      </c>
      <c r="J31" s="41">
        <v>18</v>
      </c>
      <c r="K31" s="41">
        <v>0.33</v>
      </c>
      <c r="L31" s="39">
        <v>59000</v>
      </c>
      <c r="M31" s="41">
        <v>37000</v>
      </c>
      <c r="N31" s="124">
        <v>37000</v>
      </c>
      <c r="O31" s="125">
        <v>7.0000000000000007E-2</v>
      </c>
      <c r="P31" s="41">
        <v>10800000</v>
      </c>
      <c r="Q31" s="41">
        <v>0.82</v>
      </c>
      <c r="R31" s="41">
        <v>0.46</v>
      </c>
      <c r="S31" s="126">
        <v>0.5</v>
      </c>
      <c r="T31" s="41">
        <v>480</v>
      </c>
      <c r="U31" s="41" t="s">
        <v>8</v>
      </c>
      <c r="V31" s="41"/>
      <c r="W31" s="41">
        <v>0</v>
      </c>
      <c r="X31" s="41">
        <v>-14667</v>
      </c>
      <c r="Y31" s="51">
        <f>Database[[#This Row],[Min. Fat Stress, psi]]*-1</f>
        <v>6844.5999999999995</v>
      </c>
      <c r="Z31" s="42">
        <v>-6844.5999999999995</v>
      </c>
      <c r="AA31" s="41">
        <v>40000</v>
      </c>
      <c r="AB31" s="40" t="s">
        <v>256</v>
      </c>
      <c r="AC31" s="39">
        <v>55000</v>
      </c>
      <c r="AD31" s="51">
        <f>(Database[[#This Row],[Ftu, psi]]/Database[[#This Row],[Fty, PSI]])*Database[[#This Row],[Fcy, PSI]]</f>
        <v>55000</v>
      </c>
    </row>
    <row r="32" spans="1:30" ht="45" x14ac:dyDescent="0.25">
      <c r="A32" s="122" t="s">
        <v>236</v>
      </c>
      <c r="B32" s="41" t="s">
        <v>255</v>
      </c>
      <c r="C32" s="41" t="s">
        <v>14</v>
      </c>
      <c r="D32" s="123"/>
      <c r="E32" s="123" t="s">
        <v>284</v>
      </c>
      <c r="F32" s="41">
        <v>6.3E-2</v>
      </c>
      <c r="G32" s="41"/>
      <c r="H32" s="41"/>
      <c r="I32" s="41">
        <v>4.2</v>
      </c>
      <c r="J32" s="41">
        <v>18</v>
      </c>
      <c r="K32" s="41">
        <v>0.33</v>
      </c>
      <c r="L32" s="39">
        <v>59000</v>
      </c>
      <c r="M32" s="41">
        <v>37000</v>
      </c>
      <c r="N32" s="41">
        <v>37000</v>
      </c>
      <c r="O32" s="125">
        <v>7.0000000000000007E-2</v>
      </c>
      <c r="P32" s="41">
        <v>10800000</v>
      </c>
      <c r="Q32" s="41">
        <v>0.82</v>
      </c>
      <c r="R32" s="41">
        <v>0.46</v>
      </c>
      <c r="S32" s="126">
        <v>0.5</v>
      </c>
      <c r="T32" s="41">
        <v>480</v>
      </c>
      <c r="U32" s="41" t="s">
        <v>8</v>
      </c>
      <c r="V32" s="41"/>
      <c r="W32" s="41">
        <v>0</v>
      </c>
      <c r="X32" s="41">
        <v>-14667</v>
      </c>
      <c r="Y32" s="51">
        <f>Database[[#This Row],[Min. Fat Stress, psi]]*-1</f>
        <v>6844.5999999999995</v>
      </c>
      <c r="Z32" s="42">
        <v>-6844.5999999999995</v>
      </c>
      <c r="AA32" s="41">
        <v>40000</v>
      </c>
      <c r="AB32" s="40" t="s">
        <v>256</v>
      </c>
      <c r="AC32" s="39">
        <v>55000</v>
      </c>
      <c r="AD32" s="51">
        <f>(Database[[#This Row],[Ftu, psi]]/Database[[#This Row],[Fty, PSI]])*Database[[#This Row],[Fcy, PSI]]</f>
        <v>55000</v>
      </c>
    </row>
    <row r="33" spans="1:30" ht="45" x14ac:dyDescent="0.25">
      <c r="A33" s="122" t="s">
        <v>236</v>
      </c>
      <c r="B33" s="41" t="s">
        <v>255</v>
      </c>
      <c r="C33" s="41" t="s">
        <v>15</v>
      </c>
      <c r="D33" s="123"/>
      <c r="E33" s="123" t="s">
        <v>284</v>
      </c>
      <c r="F33" s="41">
        <v>6.3E-2</v>
      </c>
      <c r="G33" s="41"/>
      <c r="H33" s="41"/>
      <c r="I33" s="41">
        <v>4.2</v>
      </c>
      <c r="J33" s="41">
        <v>18</v>
      </c>
      <c r="K33" s="41">
        <v>0.33</v>
      </c>
      <c r="L33" s="39">
        <v>59000</v>
      </c>
      <c r="M33" s="41">
        <v>37000</v>
      </c>
      <c r="N33" s="41">
        <v>37000</v>
      </c>
      <c r="O33" s="125">
        <v>7.0000000000000007E-2</v>
      </c>
      <c r="P33" s="41">
        <v>10800000</v>
      </c>
      <c r="Q33" s="41">
        <v>0.82</v>
      </c>
      <c r="R33" s="41">
        <v>0.46</v>
      </c>
      <c r="S33" s="126">
        <v>0.5</v>
      </c>
      <c r="T33" s="41">
        <v>480</v>
      </c>
      <c r="U33" s="41" t="s">
        <v>8</v>
      </c>
      <c r="V33" s="41"/>
      <c r="W33" s="41">
        <v>0</v>
      </c>
      <c r="X33" s="41">
        <v>-14667</v>
      </c>
      <c r="Y33" s="51">
        <f>Database[[#This Row],[Min. Fat Stress, psi]]*-1</f>
        <v>6844.5999999999995</v>
      </c>
      <c r="Z33" s="42">
        <v>-6844.5999999999995</v>
      </c>
      <c r="AA33" s="41">
        <v>40000</v>
      </c>
      <c r="AB33" s="40" t="s">
        <v>256</v>
      </c>
      <c r="AC33" s="39">
        <v>55000</v>
      </c>
      <c r="AD33" s="51">
        <f>(Database[[#This Row],[Ftu, psi]]/Database[[#This Row],[Fty, PSI]])*Database[[#This Row],[Fcy, PSI]]</f>
        <v>55000</v>
      </c>
    </row>
    <row r="34" spans="1:30" ht="30" x14ac:dyDescent="0.25">
      <c r="A34" s="122" t="s">
        <v>244</v>
      </c>
      <c r="B34" s="41" t="s">
        <v>255</v>
      </c>
      <c r="C34" s="41" t="s">
        <v>14</v>
      </c>
      <c r="D34" s="123" t="s">
        <v>285</v>
      </c>
      <c r="E34" s="123" t="s">
        <v>286</v>
      </c>
      <c r="F34" s="41">
        <v>6.3E-2</v>
      </c>
      <c r="G34" s="41"/>
      <c r="H34" s="41">
        <v>0.75</v>
      </c>
      <c r="I34" s="41">
        <v>1</v>
      </c>
      <c r="J34" s="41">
        <v>18</v>
      </c>
      <c r="K34" s="41">
        <v>0.33</v>
      </c>
      <c r="L34" s="39">
        <v>59000</v>
      </c>
      <c r="M34" s="41">
        <v>38000</v>
      </c>
      <c r="N34" s="41">
        <v>37000</v>
      </c>
      <c r="O34" s="125">
        <v>7.0000000000000007E-2</v>
      </c>
      <c r="P34" s="41">
        <v>10800000</v>
      </c>
      <c r="Q34" s="41">
        <v>0.89400000000000002</v>
      </c>
      <c r="R34" s="41">
        <v>0.66</v>
      </c>
      <c r="S34" s="126">
        <v>0.67</v>
      </c>
      <c r="T34" s="41">
        <v>388</v>
      </c>
      <c r="U34" s="41" t="s">
        <v>257</v>
      </c>
      <c r="V34" s="41"/>
      <c r="W34" s="41">
        <v>31828.2</v>
      </c>
      <c r="X34" s="41">
        <v>-22700</v>
      </c>
      <c r="Y34" s="42">
        <v>14853.159999999998</v>
      </c>
      <c r="Z34" s="42">
        <v>-10593.333333333332</v>
      </c>
      <c r="AA34" s="41">
        <v>30000</v>
      </c>
      <c r="AB34" s="40" t="s">
        <v>258</v>
      </c>
      <c r="AC34" s="39">
        <v>55000</v>
      </c>
      <c r="AD34" s="51">
        <f>(Database[[#This Row],[Ftu, psi]]/Database[[#This Row],[Fty, PSI]])*Database[[#This Row],[Fcy, PSI]]</f>
        <v>56486.486486486487</v>
      </c>
    </row>
    <row r="35" spans="1:30" ht="30" x14ac:dyDescent="0.25">
      <c r="A35" s="122" t="s">
        <v>244</v>
      </c>
      <c r="B35" s="41" t="s">
        <v>255</v>
      </c>
      <c r="C35" s="41" t="s">
        <v>15</v>
      </c>
      <c r="D35" s="123" t="s">
        <v>285</v>
      </c>
      <c r="E35" s="123" t="s">
        <v>286</v>
      </c>
      <c r="F35" s="41">
        <v>6.3E-2</v>
      </c>
      <c r="G35" s="41"/>
      <c r="H35" s="41">
        <v>0.75</v>
      </c>
      <c r="I35" s="41">
        <v>1</v>
      </c>
      <c r="J35" s="41">
        <v>18</v>
      </c>
      <c r="K35" s="41">
        <v>0.33</v>
      </c>
      <c r="L35" s="39">
        <v>59000</v>
      </c>
      <c r="M35" s="41">
        <v>38000</v>
      </c>
      <c r="N35" s="41">
        <v>37000</v>
      </c>
      <c r="O35" s="125">
        <v>7.0000000000000007E-2</v>
      </c>
      <c r="P35" s="41">
        <v>10800000</v>
      </c>
      <c r="Q35" s="41">
        <v>0.89400000000000002</v>
      </c>
      <c r="R35" s="41">
        <v>0.66</v>
      </c>
      <c r="S35" s="126">
        <v>0.67</v>
      </c>
      <c r="T35" s="41">
        <v>388</v>
      </c>
      <c r="U35" s="41" t="s">
        <v>257</v>
      </c>
      <c r="V35" s="41"/>
      <c r="W35" s="41">
        <v>31828.2</v>
      </c>
      <c r="X35" s="41">
        <v>-22700</v>
      </c>
      <c r="Y35" s="42">
        <v>14853.159999999998</v>
      </c>
      <c r="Z35" s="42">
        <v>-10593.333333333332</v>
      </c>
      <c r="AA35" s="41">
        <v>30000</v>
      </c>
      <c r="AB35" s="40" t="s">
        <v>258</v>
      </c>
      <c r="AC35" s="39">
        <v>55000</v>
      </c>
      <c r="AD35" s="51">
        <f>(Database[[#This Row],[Ftu, psi]]/Database[[#This Row],[Fty, PSI]])*Database[[#This Row],[Fcy, PSI]]</f>
        <v>56486.486486486487</v>
      </c>
    </row>
    <row r="36" spans="1:30" x14ac:dyDescent="0.25">
      <c r="A36" s="122" t="s">
        <v>259</v>
      </c>
      <c r="B36" s="41" t="s">
        <v>260</v>
      </c>
      <c r="C36" s="41" t="s">
        <v>14</v>
      </c>
      <c r="D36" s="123" t="s">
        <v>287</v>
      </c>
      <c r="E36" s="123" t="s">
        <v>287</v>
      </c>
      <c r="F36" s="41">
        <v>7.5999999999999998E-2</v>
      </c>
      <c r="G36" s="41"/>
      <c r="H36" s="41"/>
      <c r="I36" s="41">
        <v>5.5</v>
      </c>
      <c r="J36" s="41">
        <v>18</v>
      </c>
      <c r="K36" s="41">
        <v>0.33</v>
      </c>
      <c r="L36" s="39">
        <v>59000</v>
      </c>
      <c r="M36" s="41">
        <v>38000</v>
      </c>
      <c r="N36" s="41">
        <v>37000</v>
      </c>
      <c r="O36" s="125">
        <v>7.0000000000000007E-2</v>
      </c>
      <c r="P36" s="41">
        <v>10800000</v>
      </c>
      <c r="Q36" s="41">
        <v>0.87</v>
      </c>
      <c r="R36" s="41">
        <v>0.54</v>
      </c>
      <c r="S36" s="126">
        <v>0.55000000000000004</v>
      </c>
      <c r="T36" s="41">
        <v>393</v>
      </c>
      <c r="U36" s="41" t="s">
        <v>261</v>
      </c>
      <c r="V36" s="41">
        <v>13.22</v>
      </c>
      <c r="W36" s="41">
        <v>11891.315789473685</v>
      </c>
      <c r="X36" s="41">
        <v>-13385.657894736842</v>
      </c>
      <c r="Y36" s="42">
        <v>5549.2807017543855</v>
      </c>
      <c r="Z36" s="42">
        <v>-6246.6403508771918</v>
      </c>
      <c r="AA36" s="41">
        <v>30000</v>
      </c>
      <c r="AB36" s="40" t="s">
        <v>262</v>
      </c>
      <c r="AC36" s="39">
        <v>55000</v>
      </c>
      <c r="AD36" s="51">
        <f>(Database[[#This Row],[Ftu, psi]]/Database[[#This Row],[Fty, PSI]])*Database[[#This Row],[Fcy, PSI]]</f>
        <v>56486.486486486487</v>
      </c>
    </row>
    <row r="37" spans="1:30" x14ac:dyDescent="0.25">
      <c r="A37" s="122" t="s">
        <v>259</v>
      </c>
      <c r="B37" s="41" t="s">
        <v>260</v>
      </c>
      <c r="C37" s="41" t="s">
        <v>15</v>
      </c>
      <c r="D37" s="123" t="s">
        <v>288</v>
      </c>
      <c r="E37" s="123" t="s">
        <v>288</v>
      </c>
      <c r="F37" s="41">
        <v>7.5999999999999998E-2</v>
      </c>
      <c r="G37" s="41"/>
      <c r="H37" s="41"/>
      <c r="I37" s="41">
        <v>5.5</v>
      </c>
      <c r="J37" s="41">
        <v>18</v>
      </c>
      <c r="K37" s="41">
        <v>0.33</v>
      </c>
      <c r="L37" s="39">
        <v>59000</v>
      </c>
      <c r="M37" s="41">
        <v>38000</v>
      </c>
      <c r="N37" s="124">
        <v>37000</v>
      </c>
      <c r="O37" s="125">
        <v>7.0000000000000007E-2</v>
      </c>
      <c r="P37" s="41">
        <v>10800000</v>
      </c>
      <c r="Q37" s="41">
        <v>0.8</v>
      </c>
      <c r="R37" s="41">
        <v>0.46700000000000003</v>
      </c>
      <c r="S37" s="126">
        <v>0.5</v>
      </c>
      <c r="T37" s="41">
        <v>501</v>
      </c>
      <c r="U37" s="41" t="s">
        <v>261</v>
      </c>
      <c r="V37" s="41">
        <v>13.22</v>
      </c>
      <c r="W37" s="41">
        <v>11548.421052631578</v>
      </c>
      <c r="X37" s="41">
        <v>-13665.526315789473</v>
      </c>
      <c r="Y37" s="42">
        <v>5389.2631578947357</v>
      </c>
      <c r="Z37" s="42">
        <v>-6377.2456140350869</v>
      </c>
      <c r="AA37" s="41">
        <v>30000</v>
      </c>
      <c r="AB37" s="40" t="s">
        <v>262</v>
      </c>
      <c r="AC37" s="39">
        <v>55000</v>
      </c>
      <c r="AD37" s="51">
        <f>(Database[[#This Row],[Ftu, psi]]/Database[[#This Row],[Fty, PSI]])*Database[[#This Row],[Fcy, PSI]]</f>
        <v>56486.486486486487</v>
      </c>
    </row>
    <row r="38" spans="1:30" ht="30" x14ac:dyDescent="0.25">
      <c r="A38" s="121" t="s">
        <v>265</v>
      </c>
      <c r="B38" s="121" t="s">
        <v>266</v>
      </c>
      <c r="C38" s="121" t="s">
        <v>14</v>
      </c>
      <c r="D38" s="118" t="s">
        <v>289</v>
      </c>
      <c r="E38" s="118" t="s">
        <v>289</v>
      </c>
      <c r="F38" s="121">
        <v>6.2E-2</v>
      </c>
      <c r="G38" s="121"/>
      <c r="H38" s="121"/>
      <c r="I38" s="121"/>
      <c r="J38" s="121">
        <v>18</v>
      </c>
      <c r="K38" s="121">
        <v>0.33</v>
      </c>
      <c r="L38" s="39">
        <v>59000</v>
      </c>
      <c r="M38" s="121">
        <v>39000</v>
      </c>
      <c r="N38" s="121">
        <v>37000</v>
      </c>
      <c r="O38" s="121">
        <v>7.0000000000000007E-2</v>
      </c>
      <c r="P38" s="121">
        <v>10800000</v>
      </c>
      <c r="Q38" s="121">
        <v>0.84</v>
      </c>
      <c r="R38" s="121">
        <v>0.53100000000000003</v>
      </c>
      <c r="S38" s="121">
        <v>0.55000000000000004</v>
      </c>
      <c r="T38" s="121">
        <v>450</v>
      </c>
      <c r="U38" s="121" t="s">
        <v>8</v>
      </c>
      <c r="V38" s="121"/>
      <c r="W38" s="121">
        <v>1484</v>
      </c>
      <c r="X38" s="121">
        <v>-13226</v>
      </c>
      <c r="Y38" s="120">
        <f>W38*0.7/1.5</f>
        <v>692.5333333333333</v>
      </c>
      <c r="Z38" s="120">
        <f>X38*0.7/1.5</f>
        <v>-6172.1333333333323</v>
      </c>
      <c r="AA38" s="121">
        <v>20000</v>
      </c>
      <c r="AB38" s="77" t="s">
        <v>267</v>
      </c>
      <c r="AC38" s="39">
        <v>55000</v>
      </c>
      <c r="AD38" s="51">
        <f>(Database[[#This Row],[Ftu, psi]]/Database[[#This Row],[Fty, PSI]])*Database[[#This Row],[Fcy, PSI]]</f>
        <v>57972.972972972966</v>
      </c>
    </row>
    <row r="39" spans="1:30" ht="30" x14ac:dyDescent="0.25">
      <c r="A39" s="121" t="s">
        <v>265</v>
      </c>
      <c r="B39" s="121" t="s">
        <v>266</v>
      </c>
      <c r="C39" s="121" t="s">
        <v>15</v>
      </c>
      <c r="D39" s="118" t="s">
        <v>289</v>
      </c>
      <c r="E39" s="118" t="s">
        <v>289</v>
      </c>
      <c r="F39" s="121">
        <v>6.2E-2</v>
      </c>
      <c r="G39" s="121"/>
      <c r="H39" s="121"/>
      <c r="I39" s="121"/>
      <c r="J39" s="121">
        <v>18</v>
      </c>
      <c r="K39" s="121">
        <v>0.33</v>
      </c>
      <c r="L39" s="39">
        <v>59000</v>
      </c>
      <c r="M39" s="121">
        <v>39000</v>
      </c>
      <c r="N39" s="121">
        <v>37000</v>
      </c>
      <c r="O39" s="121">
        <v>7.0000000000000007E-2</v>
      </c>
      <c r="P39" s="121">
        <v>10800000</v>
      </c>
      <c r="Q39" s="121">
        <v>0.84</v>
      </c>
      <c r="R39" s="121">
        <v>0.53100000000000003</v>
      </c>
      <c r="S39" s="121">
        <v>0.55000000000000004</v>
      </c>
      <c r="T39" s="121">
        <v>450</v>
      </c>
      <c r="U39" s="121" t="s">
        <v>8</v>
      </c>
      <c r="V39" s="121"/>
      <c r="W39" s="121">
        <v>1484</v>
      </c>
      <c r="X39" s="121">
        <v>-13226</v>
      </c>
      <c r="Y39" s="120">
        <f>W39*0.7/1.5</f>
        <v>692.5333333333333</v>
      </c>
      <c r="Z39" s="120">
        <f>X39*0.7/1.5</f>
        <v>-6172.1333333333323</v>
      </c>
      <c r="AA39" s="121">
        <v>20000</v>
      </c>
      <c r="AB39" s="77" t="s">
        <v>267</v>
      </c>
      <c r="AC39" s="39">
        <v>55000</v>
      </c>
      <c r="AD39" s="51">
        <f>(Database[[#This Row],[Ftu, psi]]/Database[[#This Row],[Fty, PSI]])*Database[[#This Row],[Fcy, PSI]]</f>
        <v>57972.972972972966</v>
      </c>
    </row>
  </sheetData>
  <sheetProtection algorithmName="SHA-512" hashValue="stLPF56tJFm7kc21kAZH2RkBVAA6QvUXlW6NXCbT9NVn0i+QGvPLszI30lpPuOU6FxXi8H1fEdVIK3ZR/tz3fw==" saltValue="ncfic88PwFLdYkr1361YNg==" spinCount="100000" sheet="1" objects="1" scenarios="1" selectLockedCells="1"/>
  <pageMargins left="0.7" right="0.7" top="0.75" bottom="0.75" header="0.3" footer="0.3"/>
  <pageSetup paperSize="9"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theme="0" tint="-0.249977111117893"/>
  </sheetPr>
  <dimension ref="A1:H20"/>
  <sheetViews>
    <sheetView tabSelected="1" workbookViewId="0">
      <selection activeCell="F7" sqref="F7"/>
    </sheetView>
  </sheetViews>
  <sheetFormatPr defaultColWidth="9.140625" defaultRowHeight="15" x14ac:dyDescent="0.25"/>
  <cols>
    <col min="1" max="1" width="15.42578125" style="31" customWidth="1"/>
    <col min="2" max="2" width="9.7109375" style="31" customWidth="1"/>
    <col min="3" max="3" width="10.5703125" style="31" customWidth="1"/>
    <col min="4" max="4" width="19.42578125" style="31" bestFit="1" customWidth="1"/>
    <col min="5" max="6" width="9.140625" style="31"/>
    <col min="7" max="7" width="22.85546875" style="31" bestFit="1" customWidth="1"/>
    <col min="8" max="16384" width="9.140625" style="31"/>
  </cols>
  <sheetData>
    <row r="1" spans="1:8" x14ac:dyDescent="0.25">
      <c r="A1" s="58" t="s">
        <v>0</v>
      </c>
      <c r="B1" s="32" t="s">
        <v>0</v>
      </c>
      <c r="C1" s="37" t="s">
        <v>6</v>
      </c>
      <c r="D1" s="59" t="s">
        <v>16</v>
      </c>
      <c r="G1" s="31" t="s">
        <v>301</v>
      </c>
      <c r="H1" s="119">
        <v>0</v>
      </c>
    </row>
    <row r="2" spans="1:8" x14ac:dyDescent="0.25">
      <c r="A2" s="60" t="s">
        <v>1</v>
      </c>
      <c r="B2" s="61" t="s">
        <v>1</v>
      </c>
      <c r="C2" s="62" t="s">
        <v>3</v>
      </c>
      <c r="D2" s="63" t="s">
        <v>14</v>
      </c>
    </row>
    <row r="3" spans="1:8" x14ac:dyDescent="0.25">
      <c r="A3" s="64" t="s">
        <v>2</v>
      </c>
      <c r="B3" s="61" t="s">
        <v>1</v>
      </c>
      <c r="C3" s="62" t="s">
        <v>4</v>
      </c>
      <c r="D3" s="65" t="s">
        <v>15</v>
      </c>
    </row>
    <row r="4" spans="1:8" x14ac:dyDescent="0.25">
      <c r="A4" s="64" t="s">
        <v>227</v>
      </c>
      <c r="B4" s="67" t="s">
        <v>2</v>
      </c>
      <c r="C4" s="68" t="s">
        <v>5</v>
      </c>
      <c r="D4" s="66"/>
    </row>
    <row r="5" spans="1:8" x14ac:dyDescent="0.25">
      <c r="A5" s="64" t="s">
        <v>223</v>
      </c>
      <c r="B5" s="67" t="s">
        <v>227</v>
      </c>
      <c r="C5" s="68" t="s">
        <v>224</v>
      </c>
    </row>
    <row r="6" spans="1:8" x14ac:dyDescent="0.25">
      <c r="A6" s="60" t="s">
        <v>231</v>
      </c>
      <c r="B6" s="67" t="s">
        <v>223</v>
      </c>
      <c r="C6" s="68" t="s">
        <v>224</v>
      </c>
    </row>
    <row r="7" spans="1:8" x14ac:dyDescent="0.25">
      <c r="A7" s="60" t="s">
        <v>236</v>
      </c>
      <c r="B7" s="61" t="s">
        <v>1</v>
      </c>
      <c r="C7" s="62" t="s">
        <v>228</v>
      </c>
    </row>
    <row r="8" spans="1:8" x14ac:dyDescent="0.25">
      <c r="A8" s="60" t="s">
        <v>241</v>
      </c>
      <c r="B8" s="61" t="s">
        <v>231</v>
      </c>
      <c r="C8" s="62" t="s">
        <v>232</v>
      </c>
    </row>
    <row r="9" spans="1:8" x14ac:dyDescent="0.25">
      <c r="A9" s="60" t="s">
        <v>244</v>
      </c>
      <c r="B9" s="61" t="s">
        <v>231</v>
      </c>
      <c r="C9" s="62" t="s">
        <v>235</v>
      </c>
    </row>
    <row r="10" spans="1:8" x14ac:dyDescent="0.25">
      <c r="A10" s="64" t="s">
        <v>247</v>
      </c>
      <c r="B10" s="61" t="s">
        <v>236</v>
      </c>
      <c r="C10" s="62" t="s">
        <v>237</v>
      </c>
    </row>
    <row r="11" spans="1:8" x14ac:dyDescent="0.25">
      <c r="A11" s="64" t="s">
        <v>259</v>
      </c>
      <c r="B11" s="61" t="s">
        <v>236</v>
      </c>
      <c r="C11" s="62" t="s">
        <v>240</v>
      </c>
    </row>
    <row r="12" spans="1:8" x14ac:dyDescent="0.25">
      <c r="A12" s="64" t="s">
        <v>265</v>
      </c>
      <c r="B12" s="61" t="s">
        <v>236</v>
      </c>
      <c r="C12" s="62" t="s">
        <v>224</v>
      </c>
    </row>
    <row r="13" spans="1:8" x14ac:dyDescent="0.25">
      <c r="B13" s="67" t="s">
        <v>236</v>
      </c>
      <c r="C13" s="68" t="s">
        <v>255</v>
      </c>
    </row>
    <row r="14" spans="1:8" x14ac:dyDescent="0.25">
      <c r="B14" s="61" t="s">
        <v>241</v>
      </c>
      <c r="C14" s="62" t="s">
        <v>224</v>
      </c>
    </row>
    <row r="15" spans="1:8" x14ac:dyDescent="0.25">
      <c r="B15" s="67" t="s">
        <v>241</v>
      </c>
      <c r="C15" s="68" t="s">
        <v>255</v>
      </c>
      <c r="F15"/>
    </row>
    <row r="16" spans="1:8" x14ac:dyDescent="0.25">
      <c r="B16" s="61" t="s">
        <v>244</v>
      </c>
      <c r="C16" s="62" t="s">
        <v>224</v>
      </c>
      <c r="F16"/>
    </row>
    <row r="17" spans="2:6" x14ac:dyDescent="0.25">
      <c r="B17" s="67" t="s">
        <v>244</v>
      </c>
      <c r="C17" s="68" t="s">
        <v>255</v>
      </c>
      <c r="F17"/>
    </row>
    <row r="18" spans="2:6" x14ac:dyDescent="0.25">
      <c r="B18" s="67" t="s">
        <v>247</v>
      </c>
      <c r="C18" s="68" t="s">
        <v>248</v>
      </c>
    </row>
    <row r="19" spans="2:6" x14ac:dyDescent="0.25">
      <c r="B19" s="67" t="s">
        <v>259</v>
      </c>
      <c r="C19" s="68" t="s">
        <v>260</v>
      </c>
    </row>
    <row r="20" spans="2:6" x14ac:dyDescent="0.25">
      <c r="B20" s="67" t="s">
        <v>265</v>
      </c>
      <c r="C20" s="68" t="s">
        <v>266</v>
      </c>
    </row>
  </sheetData>
  <sheetProtection selectLockedCells="1"/>
  <pageMargins left="0.7" right="0.7" top="0.75" bottom="0.75" header="0.3" footer="0.3"/>
  <pageSetup orientation="portrait" horizontalDpi="90" verticalDpi="90" r:id="rId1"/>
  <tableParts count="3">
    <tablePart r:id="rId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B25"/>
  <sheetViews>
    <sheetView zoomScale="85" zoomScaleNormal="85" workbookViewId="0">
      <selection activeCell="A27" sqref="A27:XFD66"/>
    </sheetView>
  </sheetViews>
  <sheetFormatPr defaultRowHeight="15" x14ac:dyDescent="0.25"/>
  <cols>
    <col min="2" max="2" width="12.5703125" bestFit="1" customWidth="1"/>
    <col min="3" max="3" width="14.28515625" bestFit="1" customWidth="1"/>
    <col min="4" max="4" width="32.7109375" customWidth="1"/>
    <col min="5" max="5" width="33.7109375" customWidth="1"/>
    <col min="6" max="6" width="21.42578125" bestFit="1" customWidth="1"/>
    <col min="7" max="7" width="22.7109375" bestFit="1" customWidth="1"/>
    <col min="8" max="9" width="7.140625" bestFit="1" customWidth="1"/>
    <col min="10" max="10" width="15.5703125" bestFit="1" customWidth="1"/>
    <col min="11" max="11" width="13.42578125" bestFit="1" customWidth="1"/>
    <col min="12" max="12" width="8.140625" bestFit="1" customWidth="1"/>
    <col min="13" max="13" width="7.5703125" bestFit="1" customWidth="1"/>
    <col min="14" max="14" width="7.42578125" bestFit="1" customWidth="1"/>
    <col min="15" max="15" width="21" bestFit="1" customWidth="1"/>
    <col min="16" max="16" width="9.7109375" bestFit="1" customWidth="1"/>
    <col min="17" max="17" width="9" bestFit="1" customWidth="1"/>
    <col min="18" max="18" width="10" bestFit="1" customWidth="1"/>
    <col min="19" max="19" width="9.85546875" bestFit="1" customWidth="1"/>
    <col min="20" max="20" width="8.140625" bestFit="1" customWidth="1"/>
    <col min="21" max="22" width="12.7109375" bestFit="1" customWidth="1"/>
    <col min="23" max="23" width="18.5703125" bestFit="1" customWidth="1"/>
    <col min="24" max="24" width="16.7109375" bestFit="1" customWidth="1"/>
    <col min="25" max="25" width="19.42578125" bestFit="1" customWidth="1"/>
    <col min="26" max="26" width="18.85546875" bestFit="1" customWidth="1"/>
    <col min="27" max="27" width="17.5703125" bestFit="1" customWidth="1"/>
    <col min="28" max="28" width="30.85546875" bestFit="1" customWidth="1"/>
  </cols>
  <sheetData>
    <row r="1" spans="1:28" s="6" customFormat="1" x14ac:dyDescent="0.25"/>
    <row r="3" spans="1:28" s="31" customFormat="1" ht="60" x14ac:dyDescent="0.25">
      <c r="A3" s="32" t="s">
        <v>0</v>
      </c>
      <c r="B3" s="33" t="s">
        <v>6</v>
      </c>
      <c r="C3" s="33" t="s">
        <v>16</v>
      </c>
      <c r="D3" s="34" t="s">
        <v>218</v>
      </c>
      <c r="E3" s="33" t="s">
        <v>168</v>
      </c>
      <c r="F3" s="112" t="s">
        <v>60</v>
      </c>
      <c r="G3" s="112" t="s">
        <v>59</v>
      </c>
      <c r="H3" s="33" t="s">
        <v>10</v>
      </c>
      <c r="I3" s="33" t="s">
        <v>11</v>
      </c>
      <c r="J3" s="34" t="s">
        <v>45</v>
      </c>
      <c r="K3" s="34" t="s">
        <v>46</v>
      </c>
      <c r="L3" s="33" t="s">
        <v>221</v>
      </c>
      <c r="M3" s="33" t="s">
        <v>57</v>
      </c>
      <c r="N3" s="33" t="s">
        <v>65</v>
      </c>
      <c r="O3" s="114" t="s">
        <v>49</v>
      </c>
      <c r="P3" s="112" t="s">
        <v>219</v>
      </c>
      <c r="Q3" s="113" t="s">
        <v>216</v>
      </c>
      <c r="R3" s="33" t="s">
        <v>220</v>
      </c>
      <c r="S3" s="37" t="s">
        <v>222</v>
      </c>
      <c r="T3" s="33" t="s">
        <v>58</v>
      </c>
      <c r="U3" s="34" t="s">
        <v>7</v>
      </c>
      <c r="V3" s="34" t="s">
        <v>63</v>
      </c>
      <c r="W3" s="34" t="s">
        <v>62</v>
      </c>
      <c r="X3" s="34" t="s">
        <v>61</v>
      </c>
      <c r="Y3" s="34" t="s">
        <v>80</v>
      </c>
      <c r="Z3" s="34" t="s">
        <v>81</v>
      </c>
      <c r="AA3" s="34" t="s">
        <v>66</v>
      </c>
      <c r="AB3" s="33" t="s">
        <v>158</v>
      </c>
    </row>
    <row r="4" spans="1:28" ht="60" x14ac:dyDescent="0.25">
      <c r="A4" s="82" t="s">
        <v>223</v>
      </c>
      <c r="B4" s="82" t="s">
        <v>224</v>
      </c>
      <c r="C4" s="82" t="s">
        <v>15</v>
      </c>
      <c r="D4" s="74" t="s">
        <v>225</v>
      </c>
      <c r="E4" s="74" t="s">
        <v>225</v>
      </c>
      <c r="F4" s="82">
        <v>7.0999999999999994E-2</v>
      </c>
      <c r="G4" s="82">
        <v>6.5</v>
      </c>
      <c r="H4" s="82"/>
      <c r="I4" s="82">
        <v>5</v>
      </c>
      <c r="J4" s="82">
        <v>25</v>
      </c>
      <c r="K4" s="82">
        <v>0.33</v>
      </c>
      <c r="L4" s="82">
        <v>55000</v>
      </c>
      <c r="M4" s="82">
        <v>38000</v>
      </c>
      <c r="N4" s="3">
        <v>37000</v>
      </c>
      <c r="O4" s="3">
        <v>7.0000000000000007E-2</v>
      </c>
      <c r="P4" s="82">
        <v>10800000</v>
      </c>
      <c r="Q4" s="82">
        <v>0.93400000000000005</v>
      </c>
      <c r="R4" s="82">
        <v>0.74399999999999999</v>
      </c>
      <c r="S4" s="82">
        <v>0.79500000000000004</v>
      </c>
      <c r="T4" s="82">
        <v>331</v>
      </c>
      <c r="U4" s="82" t="s">
        <v>8</v>
      </c>
      <c r="V4" s="82"/>
      <c r="W4" s="82">
        <v>11790.71</v>
      </c>
      <c r="X4" s="82">
        <v>-22676.28</v>
      </c>
      <c r="Y4" s="115">
        <f t="shared" ref="Y4:Y23" si="0">W4*0.7/1.5</f>
        <v>5502.3313333333326</v>
      </c>
      <c r="Z4" s="116">
        <f t="shared" ref="Z4:Z23" si="1">X4*0.7/1.5</f>
        <v>-10582.263999999999</v>
      </c>
      <c r="AA4" s="3">
        <v>64000</v>
      </c>
      <c r="AB4" s="76" t="s">
        <v>226</v>
      </c>
    </row>
    <row r="5" spans="1:28" ht="60" x14ac:dyDescent="0.25">
      <c r="A5" s="82" t="s">
        <v>223</v>
      </c>
      <c r="B5" s="82" t="s">
        <v>224</v>
      </c>
      <c r="C5" s="82" t="s">
        <v>14</v>
      </c>
      <c r="D5" s="74" t="s">
        <v>225</v>
      </c>
      <c r="E5" s="74" t="s">
        <v>225</v>
      </c>
      <c r="F5" s="82">
        <v>7.0999999999999994E-2</v>
      </c>
      <c r="G5" s="82">
        <v>6.5</v>
      </c>
      <c r="H5" s="82"/>
      <c r="I5" s="82">
        <v>5</v>
      </c>
      <c r="J5" s="82">
        <v>25</v>
      </c>
      <c r="K5" s="82">
        <v>0.33</v>
      </c>
      <c r="L5" s="82">
        <v>55000</v>
      </c>
      <c r="M5" s="82">
        <v>38000</v>
      </c>
      <c r="N5" s="3">
        <v>37000</v>
      </c>
      <c r="O5" s="3">
        <v>7.0000000000000007E-2</v>
      </c>
      <c r="P5" s="82">
        <v>10800000</v>
      </c>
      <c r="Q5" s="82">
        <v>0.93400000000000005</v>
      </c>
      <c r="R5" s="82">
        <v>0.74399999999999999</v>
      </c>
      <c r="S5" s="82">
        <v>0.79500000000000004</v>
      </c>
      <c r="T5" s="82">
        <v>331</v>
      </c>
      <c r="U5" s="82" t="s">
        <v>8</v>
      </c>
      <c r="V5" s="82"/>
      <c r="W5" s="82">
        <v>9224.77</v>
      </c>
      <c r="X5" s="82">
        <v>-27556.91</v>
      </c>
      <c r="Y5" s="115">
        <f t="shared" si="0"/>
        <v>4304.8926666666666</v>
      </c>
      <c r="Z5" s="116">
        <f t="shared" si="1"/>
        <v>-12859.891333333333</v>
      </c>
      <c r="AA5" s="3">
        <v>64000</v>
      </c>
      <c r="AB5" s="76" t="s">
        <v>226</v>
      </c>
    </row>
    <row r="6" spans="1:28" ht="45" x14ac:dyDescent="0.25">
      <c r="A6" s="82" t="s">
        <v>227</v>
      </c>
      <c r="B6" s="82" t="s">
        <v>224</v>
      </c>
      <c r="C6" s="82" t="s">
        <v>15</v>
      </c>
      <c r="D6" s="74" t="s">
        <v>225</v>
      </c>
      <c r="E6" s="74" t="s">
        <v>225</v>
      </c>
      <c r="F6" s="82">
        <v>7.0999999999999994E-2</v>
      </c>
      <c r="G6" s="82">
        <v>6.5</v>
      </c>
      <c r="H6" s="82"/>
      <c r="I6" s="82">
        <v>5</v>
      </c>
      <c r="J6" s="82">
        <v>25</v>
      </c>
      <c r="K6" s="82">
        <v>0.33</v>
      </c>
      <c r="L6" s="82">
        <v>55000</v>
      </c>
      <c r="M6" s="82">
        <v>38000</v>
      </c>
      <c r="N6" s="3">
        <v>37000</v>
      </c>
      <c r="O6" s="3">
        <v>7.0000000000000007E-2</v>
      </c>
      <c r="P6" s="82">
        <v>10800000</v>
      </c>
      <c r="Q6" s="82">
        <v>0.93400000000000005</v>
      </c>
      <c r="R6" s="82">
        <v>0.74399999999999999</v>
      </c>
      <c r="S6" s="82">
        <v>0.79500000000000004</v>
      </c>
      <c r="T6" s="82">
        <v>331</v>
      </c>
      <c r="U6" s="82" t="s">
        <v>8</v>
      </c>
      <c r="V6" s="82"/>
      <c r="W6" s="82">
        <v>11790.71</v>
      </c>
      <c r="X6" s="82">
        <v>-22676.28</v>
      </c>
      <c r="Y6" s="115">
        <f t="shared" si="0"/>
        <v>5502.3313333333326</v>
      </c>
      <c r="Z6" s="116">
        <f t="shared" si="1"/>
        <v>-10582.263999999999</v>
      </c>
      <c r="AA6" s="3">
        <v>64000</v>
      </c>
      <c r="AB6" s="76" t="s">
        <v>226</v>
      </c>
    </row>
    <row r="7" spans="1:28" ht="45" x14ac:dyDescent="0.25">
      <c r="A7" s="82" t="s">
        <v>227</v>
      </c>
      <c r="B7" s="82" t="s">
        <v>224</v>
      </c>
      <c r="C7" s="82" t="s">
        <v>14</v>
      </c>
      <c r="D7" s="74" t="s">
        <v>225</v>
      </c>
      <c r="E7" s="74" t="s">
        <v>225</v>
      </c>
      <c r="F7" s="82">
        <v>7.0999999999999994E-2</v>
      </c>
      <c r="G7" s="82">
        <v>6.5</v>
      </c>
      <c r="H7" s="82"/>
      <c r="I7" s="82">
        <v>5</v>
      </c>
      <c r="J7" s="82">
        <v>25</v>
      </c>
      <c r="K7" s="82">
        <v>0.33</v>
      </c>
      <c r="L7" s="82">
        <v>55000</v>
      </c>
      <c r="M7" s="82">
        <v>38000</v>
      </c>
      <c r="N7" s="3">
        <v>37000</v>
      </c>
      <c r="O7" s="3">
        <v>7.0000000000000007E-2</v>
      </c>
      <c r="P7" s="82">
        <v>10800000</v>
      </c>
      <c r="Q7" s="82">
        <v>0.93400000000000005</v>
      </c>
      <c r="R7" s="82">
        <v>0.74399999999999999</v>
      </c>
      <c r="S7" s="82">
        <v>0.79500000000000004</v>
      </c>
      <c r="T7" s="82">
        <v>331</v>
      </c>
      <c r="U7" s="82" t="s">
        <v>8</v>
      </c>
      <c r="V7" s="82"/>
      <c r="W7" s="82">
        <v>9224.77</v>
      </c>
      <c r="X7" s="82">
        <v>-27556.91</v>
      </c>
      <c r="Y7" s="115">
        <f t="shared" si="0"/>
        <v>4304.8926666666666</v>
      </c>
      <c r="Z7" s="116">
        <f t="shared" si="1"/>
        <v>-12859.891333333333</v>
      </c>
      <c r="AA7" s="3">
        <v>64000</v>
      </c>
      <c r="AB7" s="76" t="s">
        <v>226</v>
      </c>
    </row>
    <row r="8" spans="1:28" ht="45" x14ac:dyDescent="0.25">
      <c r="A8" s="82" t="s">
        <v>1</v>
      </c>
      <c r="B8" s="82" t="s">
        <v>228</v>
      </c>
      <c r="C8" s="74" t="s">
        <v>15</v>
      </c>
      <c r="D8" s="74" t="s">
        <v>163</v>
      </c>
      <c r="E8" s="74" t="s">
        <v>229</v>
      </c>
      <c r="F8" s="82">
        <v>0.08</v>
      </c>
      <c r="G8" s="82">
        <v>38.942999999999998</v>
      </c>
      <c r="H8" s="82">
        <v>10.195</v>
      </c>
      <c r="I8" s="82">
        <v>3.367</v>
      </c>
      <c r="J8" s="82">
        <v>18</v>
      </c>
      <c r="K8" s="82">
        <v>0.33</v>
      </c>
      <c r="L8" s="82">
        <v>54000</v>
      </c>
      <c r="M8" s="82">
        <v>38000</v>
      </c>
      <c r="N8" s="82">
        <v>36000</v>
      </c>
      <c r="O8" s="82">
        <v>7.0000000000000007E-2</v>
      </c>
      <c r="P8" s="82">
        <v>10800000</v>
      </c>
      <c r="Q8" s="82">
        <v>0.93</v>
      </c>
      <c r="R8" s="82">
        <v>0.54</v>
      </c>
      <c r="S8" s="82">
        <v>0.37</v>
      </c>
      <c r="T8" s="82">
        <v>438</v>
      </c>
      <c r="U8" s="82" t="s">
        <v>8</v>
      </c>
      <c r="V8" s="82"/>
      <c r="W8" s="82">
        <v>7100</v>
      </c>
      <c r="X8" s="82">
        <v>-12438</v>
      </c>
      <c r="Y8" s="82">
        <f t="shared" si="0"/>
        <v>3313.3333333333335</v>
      </c>
      <c r="Z8" s="10">
        <f t="shared" si="1"/>
        <v>-5804.3999999999987</v>
      </c>
      <c r="AA8" s="82">
        <v>80000</v>
      </c>
      <c r="AB8" s="76" t="s">
        <v>230</v>
      </c>
    </row>
    <row r="9" spans="1:28" ht="45" x14ac:dyDescent="0.25">
      <c r="A9" s="82" t="s">
        <v>1</v>
      </c>
      <c r="B9" s="82" t="s">
        <v>228</v>
      </c>
      <c r="C9" s="74" t="s">
        <v>14</v>
      </c>
      <c r="D9" s="74" t="s">
        <v>163</v>
      </c>
      <c r="E9" s="74" t="s">
        <v>229</v>
      </c>
      <c r="F9" s="82">
        <v>0.08</v>
      </c>
      <c r="G9" s="82">
        <v>38.942999999999998</v>
      </c>
      <c r="H9" s="82">
        <v>10.195</v>
      </c>
      <c r="I9" s="82">
        <v>3.367</v>
      </c>
      <c r="J9" s="82">
        <v>18</v>
      </c>
      <c r="K9" s="82">
        <v>0.33</v>
      </c>
      <c r="L9" s="82">
        <v>54000</v>
      </c>
      <c r="M9" s="82">
        <v>38000</v>
      </c>
      <c r="N9" s="82">
        <v>36000</v>
      </c>
      <c r="O9" s="82">
        <v>7.0000000000000007E-2</v>
      </c>
      <c r="P9" s="82">
        <v>10800000</v>
      </c>
      <c r="Q9" s="82">
        <v>0.93</v>
      </c>
      <c r="R9" s="82">
        <v>0.54</v>
      </c>
      <c r="S9" s="82">
        <v>0.37</v>
      </c>
      <c r="T9" s="82">
        <v>438</v>
      </c>
      <c r="U9" s="82" t="s">
        <v>8</v>
      </c>
      <c r="V9" s="82"/>
      <c r="W9" s="82">
        <v>7100</v>
      </c>
      <c r="X9" s="82">
        <v>-12438</v>
      </c>
      <c r="Y9" s="82">
        <f t="shared" si="0"/>
        <v>3313.3333333333335</v>
      </c>
      <c r="Z9" s="10">
        <f t="shared" si="1"/>
        <v>-5804.3999999999987</v>
      </c>
      <c r="AA9" s="82">
        <v>80000</v>
      </c>
      <c r="AB9" s="76" t="s">
        <v>230</v>
      </c>
    </row>
    <row r="10" spans="1:28" ht="45" x14ac:dyDescent="0.25">
      <c r="A10" s="82" t="s">
        <v>231</v>
      </c>
      <c r="B10" s="82" t="s">
        <v>232</v>
      </c>
      <c r="C10" s="74" t="s">
        <v>15</v>
      </c>
      <c r="D10" s="74" t="s">
        <v>233</v>
      </c>
      <c r="E10" s="74" t="s">
        <v>233</v>
      </c>
      <c r="F10" s="82">
        <v>7.5999999999999998E-2</v>
      </c>
      <c r="G10" s="82"/>
      <c r="H10" s="82"/>
      <c r="I10" s="82"/>
      <c r="J10" s="82">
        <v>18</v>
      </c>
      <c r="K10" s="82">
        <v>0.33</v>
      </c>
      <c r="L10" s="82">
        <v>54000</v>
      </c>
      <c r="M10" s="82">
        <v>37000</v>
      </c>
      <c r="N10" s="82">
        <v>36000</v>
      </c>
      <c r="O10" s="82">
        <v>7.0000000000000007E-2</v>
      </c>
      <c r="P10" s="82">
        <v>10800000</v>
      </c>
      <c r="Q10" s="82">
        <v>0.75</v>
      </c>
      <c r="R10" s="82">
        <v>0.38</v>
      </c>
      <c r="S10" s="82">
        <v>0.41899999999999998</v>
      </c>
      <c r="T10" s="82">
        <v>550</v>
      </c>
      <c r="U10" s="82" t="s">
        <v>8</v>
      </c>
      <c r="V10" s="82">
        <v>16.73</v>
      </c>
      <c r="W10" s="82">
        <v>18234.752772635173</v>
      </c>
      <c r="X10" s="82">
        <v>-9335.1682851005498</v>
      </c>
      <c r="Y10" s="82">
        <f t="shared" si="0"/>
        <v>8509.551293896413</v>
      </c>
      <c r="Z10" s="10">
        <f t="shared" si="1"/>
        <v>-4356.4118663802565</v>
      </c>
      <c r="AA10" s="82">
        <v>60000</v>
      </c>
      <c r="AB10" s="117" t="s">
        <v>234</v>
      </c>
    </row>
    <row r="11" spans="1:28" ht="45.6" customHeight="1" x14ac:dyDescent="0.25">
      <c r="A11" s="82" t="s">
        <v>231</v>
      </c>
      <c r="B11" s="82" t="s">
        <v>232</v>
      </c>
      <c r="C11" s="74" t="s">
        <v>14</v>
      </c>
      <c r="D11" s="74" t="s">
        <v>233</v>
      </c>
      <c r="E11" s="74" t="s">
        <v>233</v>
      </c>
      <c r="F11" s="82">
        <v>7.5999999999999998E-2</v>
      </c>
      <c r="G11" s="82"/>
      <c r="H11" s="82"/>
      <c r="I11" s="82"/>
      <c r="J11" s="82">
        <v>18</v>
      </c>
      <c r="K11" s="82">
        <v>0.33</v>
      </c>
      <c r="L11" s="82">
        <v>54000</v>
      </c>
      <c r="M11" s="82">
        <v>37000</v>
      </c>
      <c r="N11" s="82">
        <v>36000</v>
      </c>
      <c r="O11" s="82">
        <v>7.0000000000000007E-2</v>
      </c>
      <c r="P11" s="82">
        <v>10800000</v>
      </c>
      <c r="Q11" s="82">
        <v>0.75</v>
      </c>
      <c r="R11" s="82">
        <v>0.38</v>
      </c>
      <c r="S11" s="82">
        <v>0.41899999999999998</v>
      </c>
      <c r="T11" s="82">
        <v>550</v>
      </c>
      <c r="U11" s="82" t="s">
        <v>8</v>
      </c>
      <c r="V11" s="82">
        <v>16.73</v>
      </c>
      <c r="W11" s="82">
        <v>18234.752772635173</v>
      </c>
      <c r="X11" s="82">
        <v>-9335.1682851005498</v>
      </c>
      <c r="Y11" s="82">
        <f t="shared" si="0"/>
        <v>8509.551293896413</v>
      </c>
      <c r="Z11" s="10">
        <f t="shared" si="1"/>
        <v>-4356.4118663802565</v>
      </c>
      <c r="AA11" s="82">
        <v>60000</v>
      </c>
      <c r="AB11" s="117" t="s">
        <v>234</v>
      </c>
    </row>
    <row r="12" spans="1:28" ht="45" x14ac:dyDescent="0.25">
      <c r="A12" s="82" t="s">
        <v>231</v>
      </c>
      <c r="B12" s="82" t="s">
        <v>235</v>
      </c>
      <c r="C12" s="74" t="s">
        <v>15</v>
      </c>
      <c r="D12" s="74" t="s">
        <v>233</v>
      </c>
      <c r="E12" s="74" t="s">
        <v>233</v>
      </c>
      <c r="F12" s="82">
        <v>7.5999999999999998E-2</v>
      </c>
      <c r="G12" s="82"/>
      <c r="H12" s="82"/>
      <c r="I12" s="82"/>
      <c r="J12" s="82">
        <v>18</v>
      </c>
      <c r="K12" s="82">
        <v>0.33</v>
      </c>
      <c r="L12" s="82">
        <v>54000</v>
      </c>
      <c r="M12" s="82">
        <v>37000</v>
      </c>
      <c r="N12" s="82">
        <v>36000</v>
      </c>
      <c r="O12" s="82">
        <v>7.0000000000000007E-2</v>
      </c>
      <c r="P12" s="82">
        <v>10800000</v>
      </c>
      <c r="Q12" s="82">
        <v>0.75</v>
      </c>
      <c r="R12" s="82">
        <v>0.38</v>
      </c>
      <c r="S12" s="82">
        <v>0.41899999999999998</v>
      </c>
      <c r="T12" s="82">
        <v>550</v>
      </c>
      <c r="U12" s="82" t="s">
        <v>8</v>
      </c>
      <c r="V12" s="82">
        <v>16.73</v>
      </c>
      <c r="W12" s="82">
        <v>18234.752772635173</v>
      </c>
      <c r="X12" s="82">
        <v>-9335.1682851005498</v>
      </c>
      <c r="Y12" s="82">
        <f t="shared" si="0"/>
        <v>8509.551293896413</v>
      </c>
      <c r="Z12" s="10">
        <f t="shared" si="1"/>
        <v>-4356.4118663802565</v>
      </c>
      <c r="AA12" s="82">
        <v>60000</v>
      </c>
      <c r="AB12" s="117" t="s">
        <v>234</v>
      </c>
    </row>
    <row r="13" spans="1:28" ht="40.15" customHeight="1" x14ac:dyDescent="0.25">
      <c r="A13" s="82" t="s">
        <v>231</v>
      </c>
      <c r="B13" s="82" t="s">
        <v>235</v>
      </c>
      <c r="C13" s="74" t="s">
        <v>14</v>
      </c>
      <c r="D13" s="74" t="s">
        <v>233</v>
      </c>
      <c r="E13" s="74" t="s">
        <v>233</v>
      </c>
      <c r="F13" s="82">
        <v>7.5999999999999998E-2</v>
      </c>
      <c r="G13" s="82"/>
      <c r="H13" s="82"/>
      <c r="I13" s="82"/>
      <c r="J13" s="82">
        <v>18</v>
      </c>
      <c r="K13" s="82">
        <v>0.33</v>
      </c>
      <c r="L13" s="82">
        <v>54000</v>
      </c>
      <c r="M13" s="82">
        <v>37000</v>
      </c>
      <c r="N13" s="82">
        <v>36000</v>
      </c>
      <c r="O13" s="82">
        <v>7.0000000000000007E-2</v>
      </c>
      <c r="P13" s="82">
        <v>10800000</v>
      </c>
      <c r="Q13" s="82">
        <v>0.75</v>
      </c>
      <c r="R13" s="82">
        <v>0.38</v>
      </c>
      <c r="S13" s="82">
        <v>0.41899999999999998</v>
      </c>
      <c r="T13" s="82">
        <v>550</v>
      </c>
      <c r="U13" s="82" t="s">
        <v>8</v>
      </c>
      <c r="V13" s="82">
        <v>16.73</v>
      </c>
      <c r="W13" s="82">
        <v>18234.752772635173</v>
      </c>
      <c r="X13" s="82">
        <v>-9335.1682851005498</v>
      </c>
      <c r="Y13" s="82">
        <f t="shared" si="0"/>
        <v>8509.551293896413</v>
      </c>
      <c r="Z13" s="10">
        <f t="shared" si="1"/>
        <v>-4356.4118663802565</v>
      </c>
      <c r="AA13" s="82">
        <v>60000</v>
      </c>
      <c r="AB13" s="117" t="s">
        <v>234</v>
      </c>
    </row>
    <row r="14" spans="1:28" x14ac:dyDescent="0.25">
      <c r="A14" s="82" t="s">
        <v>236</v>
      </c>
      <c r="B14" s="82" t="s">
        <v>237</v>
      </c>
      <c r="C14" s="74" t="s">
        <v>15</v>
      </c>
      <c r="D14" s="74" t="s">
        <v>238</v>
      </c>
      <c r="E14" s="74" t="s">
        <v>238</v>
      </c>
      <c r="F14" s="82">
        <v>6.3E-2</v>
      </c>
      <c r="G14" s="82">
        <v>13</v>
      </c>
      <c r="H14" s="82"/>
      <c r="I14" s="82">
        <v>5</v>
      </c>
      <c r="J14" s="82">
        <v>27</v>
      </c>
      <c r="K14" s="82">
        <v>0.3</v>
      </c>
      <c r="L14" s="82">
        <v>54000</v>
      </c>
      <c r="M14" s="82">
        <v>38000</v>
      </c>
      <c r="N14" s="82">
        <v>36000</v>
      </c>
      <c r="O14" s="82">
        <v>7.0000000000000007E-2</v>
      </c>
      <c r="P14" s="82">
        <v>10800000</v>
      </c>
      <c r="Q14" s="82">
        <v>0.77600000000000002</v>
      </c>
      <c r="R14" s="82">
        <v>0.37</v>
      </c>
      <c r="S14" s="82">
        <v>0.56000000000000005</v>
      </c>
      <c r="T14" s="82">
        <v>525</v>
      </c>
      <c r="U14" s="82" t="s">
        <v>8</v>
      </c>
      <c r="V14" s="82"/>
      <c r="W14" s="82">
        <v>1107</v>
      </c>
      <c r="X14" s="82">
        <v>-27344</v>
      </c>
      <c r="Y14" s="10">
        <f t="shared" si="0"/>
        <v>516.6</v>
      </c>
      <c r="Z14" s="10">
        <f t="shared" si="1"/>
        <v>-12760.533333333333</v>
      </c>
      <c r="AA14" s="82">
        <v>64000</v>
      </c>
      <c r="AB14" s="117" t="s">
        <v>239</v>
      </c>
    </row>
    <row r="15" spans="1:28" x14ac:dyDescent="0.25">
      <c r="A15" s="82" t="s">
        <v>236</v>
      </c>
      <c r="B15" s="82" t="s">
        <v>237</v>
      </c>
      <c r="C15" s="74" t="s">
        <v>14</v>
      </c>
      <c r="D15" s="74" t="s">
        <v>238</v>
      </c>
      <c r="E15" s="74" t="s">
        <v>238</v>
      </c>
      <c r="F15" s="82">
        <v>6.3E-2</v>
      </c>
      <c r="G15" s="82">
        <v>13</v>
      </c>
      <c r="H15" s="82"/>
      <c r="I15" s="82">
        <v>5</v>
      </c>
      <c r="J15" s="82">
        <v>27</v>
      </c>
      <c r="K15" s="82">
        <v>0.3</v>
      </c>
      <c r="L15" s="82">
        <v>54000</v>
      </c>
      <c r="M15" s="82">
        <v>38000</v>
      </c>
      <c r="N15" s="82">
        <v>36000</v>
      </c>
      <c r="O15" s="82">
        <v>7.0000000000000007E-2</v>
      </c>
      <c r="P15" s="82">
        <v>10800000</v>
      </c>
      <c r="Q15" s="82">
        <v>0.77600000000000002</v>
      </c>
      <c r="R15" s="82">
        <v>0.37</v>
      </c>
      <c r="S15" s="82">
        <v>0.56000000000000005</v>
      </c>
      <c r="T15" s="82">
        <v>525</v>
      </c>
      <c r="U15" s="82" t="s">
        <v>8</v>
      </c>
      <c r="V15" s="82"/>
      <c r="W15" s="82">
        <v>1107</v>
      </c>
      <c r="X15" s="82">
        <v>-27344</v>
      </c>
      <c r="Y15" s="10">
        <f t="shared" si="0"/>
        <v>516.6</v>
      </c>
      <c r="Z15" s="10">
        <f t="shared" si="1"/>
        <v>-12760.533333333333</v>
      </c>
      <c r="AA15" s="82">
        <v>64000</v>
      </c>
      <c r="AB15" s="117" t="s">
        <v>239</v>
      </c>
    </row>
    <row r="16" spans="1:28" x14ac:dyDescent="0.25">
      <c r="A16" s="82" t="s">
        <v>236</v>
      </c>
      <c r="B16" s="82" t="s">
        <v>240</v>
      </c>
      <c r="C16" s="74" t="s">
        <v>15</v>
      </c>
      <c r="D16" s="74" t="s">
        <v>238</v>
      </c>
      <c r="E16" s="74" t="s">
        <v>238</v>
      </c>
      <c r="F16" s="82">
        <v>6.3E-2</v>
      </c>
      <c r="G16" s="82">
        <v>13</v>
      </c>
      <c r="H16" s="82"/>
      <c r="I16" s="82">
        <v>5</v>
      </c>
      <c r="J16" s="82">
        <v>27</v>
      </c>
      <c r="K16" s="82">
        <v>0.3</v>
      </c>
      <c r="L16" s="82">
        <v>54000</v>
      </c>
      <c r="M16" s="82">
        <v>38000</v>
      </c>
      <c r="N16" s="82">
        <v>36000</v>
      </c>
      <c r="O16" s="82">
        <v>7.0000000000000007E-2</v>
      </c>
      <c r="P16" s="82">
        <v>10800000</v>
      </c>
      <c r="Q16" s="82">
        <v>0.77600000000000002</v>
      </c>
      <c r="R16" s="82">
        <v>0.37</v>
      </c>
      <c r="S16" s="82">
        <v>0.56000000000000005</v>
      </c>
      <c r="T16" s="82">
        <v>525</v>
      </c>
      <c r="U16" s="82" t="s">
        <v>8</v>
      </c>
      <c r="V16" s="82"/>
      <c r="W16" s="82">
        <v>1107</v>
      </c>
      <c r="X16" s="82">
        <v>-27344</v>
      </c>
      <c r="Y16" s="10">
        <f t="shared" si="0"/>
        <v>516.6</v>
      </c>
      <c r="Z16" s="10">
        <f t="shared" si="1"/>
        <v>-12760.533333333333</v>
      </c>
      <c r="AA16" s="82">
        <v>64000</v>
      </c>
      <c r="AB16" s="117" t="s">
        <v>239</v>
      </c>
    </row>
    <row r="17" spans="1:28" x14ac:dyDescent="0.25">
      <c r="A17" s="82" t="s">
        <v>236</v>
      </c>
      <c r="B17" s="82" t="s">
        <v>240</v>
      </c>
      <c r="C17" s="74" t="s">
        <v>14</v>
      </c>
      <c r="D17" s="74" t="s">
        <v>238</v>
      </c>
      <c r="E17" s="74" t="s">
        <v>238</v>
      </c>
      <c r="F17" s="82">
        <v>6.3E-2</v>
      </c>
      <c r="G17" s="82">
        <v>13</v>
      </c>
      <c r="H17" s="82"/>
      <c r="I17" s="82">
        <v>5</v>
      </c>
      <c r="J17" s="82">
        <v>27</v>
      </c>
      <c r="K17" s="82">
        <v>0.3</v>
      </c>
      <c r="L17" s="82">
        <v>54000</v>
      </c>
      <c r="M17" s="82">
        <v>38000</v>
      </c>
      <c r="N17" s="82">
        <v>36000</v>
      </c>
      <c r="O17" s="82">
        <v>7.0000000000000007E-2</v>
      </c>
      <c r="P17" s="82">
        <v>10800000</v>
      </c>
      <c r="Q17" s="82">
        <v>0.77600000000000002</v>
      </c>
      <c r="R17" s="82">
        <v>0.37</v>
      </c>
      <c r="S17" s="82">
        <v>0.56000000000000005</v>
      </c>
      <c r="T17" s="82">
        <v>525</v>
      </c>
      <c r="U17" s="82" t="s">
        <v>8</v>
      </c>
      <c r="V17" s="82"/>
      <c r="W17" s="82">
        <v>1107</v>
      </c>
      <c r="X17" s="82">
        <v>-27344</v>
      </c>
      <c r="Y17" s="10">
        <f t="shared" si="0"/>
        <v>516.6</v>
      </c>
      <c r="Z17" s="10">
        <f t="shared" si="1"/>
        <v>-12760.533333333333</v>
      </c>
      <c r="AA17" s="82">
        <v>64000</v>
      </c>
      <c r="AB17" s="117" t="s">
        <v>239</v>
      </c>
    </row>
    <row r="18" spans="1:28" s="6" customFormat="1" ht="45" x14ac:dyDescent="0.25">
      <c r="A18" s="3" t="s">
        <v>241</v>
      </c>
      <c r="B18" s="3" t="s">
        <v>224</v>
      </c>
      <c r="C18" s="118" t="s">
        <v>15</v>
      </c>
      <c r="D18" s="118" t="s">
        <v>242</v>
      </c>
      <c r="E18" s="118" t="s">
        <v>242</v>
      </c>
      <c r="F18" s="3">
        <v>0.08</v>
      </c>
      <c r="G18" s="3">
        <v>6.5</v>
      </c>
      <c r="H18" s="3"/>
      <c r="I18" s="3">
        <v>5</v>
      </c>
      <c r="J18" s="3">
        <v>18</v>
      </c>
      <c r="K18" s="3">
        <v>0.3</v>
      </c>
      <c r="L18" s="3">
        <v>54000</v>
      </c>
      <c r="M18" s="3">
        <v>38000</v>
      </c>
      <c r="N18" s="3">
        <v>36000</v>
      </c>
      <c r="O18" s="3">
        <v>7.0000000000000007E-2</v>
      </c>
      <c r="P18" s="82">
        <v>10800000</v>
      </c>
      <c r="Q18" s="3">
        <v>0.76700000000000002</v>
      </c>
      <c r="R18" s="3">
        <v>0.34200000000000003</v>
      </c>
      <c r="S18" s="3">
        <v>0.436</v>
      </c>
      <c r="T18" s="3">
        <v>535</v>
      </c>
      <c r="U18" s="3" t="s">
        <v>8</v>
      </c>
      <c r="V18" s="3"/>
      <c r="W18" s="3">
        <v>0</v>
      </c>
      <c r="X18" s="3">
        <v>-10942</v>
      </c>
      <c r="Y18" s="116">
        <f t="shared" si="0"/>
        <v>0</v>
      </c>
      <c r="Z18" s="116">
        <f t="shared" si="1"/>
        <v>-5106.2666666666664</v>
      </c>
      <c r="AA18" s="3">
        <v>64000</v>
      </c>
      <c r="AB18" s="77" t="s">
        <v>243</v>
      </c>
    </row>
    <row r="19" spans="1:28" s="6" customFormat="1" ht="45" x14ac:dyDescent="0.25">
      <c r="A19" s="3" t="s">
        <v>241</v>
      </c>
      <c r="B19" s="3" t="s">
        <v>224</v>
      </c>
      <c r="C19" s="118" t="s">
        <v>14</v>
      </c>
      <c r="D19" s="118" t="s">
        <v>242</v>
      </c>
      <c r="E19" s="118" t="s">
        <v>242</v>
      </c>
      <c r="F19" s="3">
        <v>0.08</v>
      </c>
      <c r="G19" s="3">
        <v>6.5</v>
      </c>
      <c r="H19" s="3"/>
      <c r="I19" s="3">
        <v>5</v>
      </c>
      <c r="J19" s="3">
        <v>18</v>
      </c>
      <c r="K19" s="3">
        <v>0.3</v>
      </c>
      <c r="L19" s="3">
        <v>54000</v>
      </c>
      <c r="M19" s="3">
        <v>38000</v>
      </c>
      <c r="N19" s="3">
        <v>36000</v>
      </c>
      <c r="O19" s="3">
        <v>7.0000000000000007E-2</v>
      </c>
      <c r="P19" s="82">
        <v>10800000</v>
      </c>
      <c r="Q19" s="3">
        <v>0.76700000000000002</v>
      </c>
      <c r="R19" s="3">
        <v>0.34200000000000003</v>
      </c>
      <c r="S19" s="3">
        <v>0.436</v>
      </c>
      <c r="T19" s="3">
        <v>535</v>
      </c>
      <c r="U19" s="3" t="s">
        <v>8</v>
      </c>
      <c r="V19" s="3"/>
      <c r="W19" s="3">
        <v>0</v>
      </c>
      <c r="X19" s="3">
        <v>-10942</v>
      </c>
      <c r="Y19" s="116">
        <f t="shared" si="0"/>
        <v>0</v>
      </c>
      <c r="Z19" s="116">
        <f t="shared" si="1"/>
        <v>-5106.2666666666664</v>
      </c>
      <c r="AA19" s="3">
        <v>64000</v>
      </c>
      <c r="AB19" s="77" t="s">
        <v>243</v>
      </c>
    </row>
    <row r="20" spans="1:28" s="6" customFormat="1" ht="45" x14ac:dyDescent="0.25">
      <c r="A20" s="3" t="s">
        <v>236</v>
      </c>
      <c r="B20" s="3" t="s">
        <v>224</v>
      </c>
      <c r="C20" s="118" t="s">
        <v>15</v>
      </c>
      <c r="D20" s="118" t="s">
        <v>242</v>
      </c>
      <c r="E20" s="118" t="s">
        <v>242</v>
      </c>
      <c r="F20" s="3">
        <v>0.08</v>
      </c>
      <c r="G20" s="3">
        <v>6.5</v>
      </c>
      <c r="H20" s="3"/>
      <c r="I20" s="3">
        <v>5</v>
      </c>
      <c r="J20" s="3">
        <v>18</v>
      </c>
      <c r="K20" s="3">
        <v>0.3</v>
      </c>
      <c r="L20" s="3">
        <v>54000</v>
      </c>
      <c r="M20" s="3">
        <v>38000</v>
      </c>
      <c r="N20" s="3">
        <v>36000</v>
      </c>
      <c r="O20" s="3">
        <v>7.0000000000000007E-2</v>
      </c>
      <c r="P20" s="82">
        <v>10800000</v>
      </c>
      <c r="Q20" s="3">
        <v>0.76700000000000002</v>
      </c>
      <c r="R20" s="3">
        <v>0.34200000000000003</v>
      </c>
      <c r="S20" s="3">
        <v>0.436</v>
      </c>
      <c r="T20" s="3">
        <v>535</v>
      </c>
      <c r="U20" s="3" t="s">
        <v>8</v>
      </c>
      <c r="V20" s="3"/>
      <c r="W20" s="3">
        <v>0</v>
      </c>
      <c r="X20" s="3">
        <v>-10942</v>
      </c>
      <c r="Y20" s="116">
        <f t="shared" si="0"/>
        <v>0</v>
      </c>
      <c r="Z20" s="116">
        <f t="shared" si="1"/>
        <v>-5106.2666666666664</v>
      </c>
      <c r="AA20" s="3">
        <v>64000</v>
      </c>
      <c r="AB20" s="77" t="s">
        <v>243</v>
      </c>
    </row>
    <row r="21" spans="1:28" s="6" customFormat="1" ht="45" x14ac:dyDescent="0.25">
      <c r="A21" s="3" t="s">
        <v>236</v>
      </c>
      <c r="B21" s="3" t="s">
        <v>224</v>
      </c>
      <c r="C21" s="118" t="s">
        <v>14</v>
      </c>
      <c r="D21" s="118" t="s">
        <v>242</v>
      </c>
      <c r="E21" s="118" t="s">
        <v>242</v>
      </c>
      <c r="F21" s="3">
        <v>0.08</v>
      </c>
      <c r="G21" s="3">
        <v>6.5</v>
      </c>
      <c r="H21" s="3"/>
      <c r="I21" s="3">
        <v>5</v>
      </c>
      <c r="J21" s="3">
        <v>18</v>
      </c>
      <c r="K21" s="3">
        <v>0.3</v>
      </c>
      <c r="L21" s="3">
        <v>54000</v>
      </c>
      <c r="M21" s="3">
        <v>38000</v>
      </c>
      <c r="N21" s="3">
        <v>36000</v>
      </c>
      <c r="O21" s="3">
        <v>7.0000000000000007E-2</v>
      </c>
      <c r="P21" s="82">
        <v>10800000</v>
      </c>
      <c r="Q21" s="3">
        <v>0.76700000000000002</v>
      </c>
      <c r="R21" s="3">
        <v>0.34200000000000003</v>
      </c>
      <c r="S21" s="3">
        <v>0.436</v>
      </c>
      <c r="T21" s="3">
        <v>535</v>
      </c>
      <c r="U21" s="3" t="s">
        <v>8</v>
      </c>
      <c r="V21" s="3"/>
      <c r="W21" s="3">
        <v>0</v>
      </c>
      <c r="X21" s="3">
        <v>-10942</v>
      </c>
      <c r="Y21" s="116">
        <f t="shared" si="0"/>
        <v>0</v>
      </c>
      <c r="Z21" s="116">
        <f t="shared" si="1"/>
        <v>-5106.2666666666664</v>
      </c>
      <c r="AA21" s="3">
        <v>64000</v>
      </c>
      <c r="AB21" s="77" t="s">
        <v>243</v>
      </c>
    </row>
    <row r="22" spans="1:28" x14ac:dyDescent="0.25">
      <c r="A22" s="82" t="s">
        <v>244</v>
      </c>
      <c r="B22" s="82" t="s">
        <v>224</v>
      </c>
      <c r="C22" s="82" t="s">
        <v>15</v>
      </c>
      <c r="D22" s="74" t="s">
        <v>245</v>
      </c>
      <c r="E22" s="74" t="s">
        <v>245</v>
      </c>
      <c r="F22" s="82">
        <v>7.0999999999999994E-2</v>
      </c>
      <c r="G22" s="82">
        <v>6.5</v>
      </c>
      <c r="H22" s="82"/>
      <c r="I22" s="82">
        <v>5</v>
      </c>
      <c r="J22" s="82">
        <v>27</v>
      </c>
      <c r="K22" s="82">
        <v>0.33</v>
      </c>
      <c r="L22" s="82">
        <v>55000</v>
      </c>
      <c r="M22" s="82">
        <v>38000</v>
      </c>
      <c r="N22" s="3">
        <v>37000</v>
      </c>
      <c r="O22" s="3">
        <v>7.0000000000000007E-2</v>
      </c>
      <c r="P22" s="82">
        <v>10800000</v>
      </c>
      <c r="Q22" s="82">
        <v>0.95399999999999996</v>
      </c>
      <c r="R22" s="82">
        <v>0.8</v>
      </c>
      <c r="S22" s="82">
        <v>0.83399999999999996</v>
      </c>
      <c r="T22" s="82">
        <v>300</v>
      </c>
      <c r="U22" s="82" t="s">
        <v>8</v>
      </c>
      <c r="V22" s="82">
        <v>3.44</v>
      </c>
      <c r="W22" s="82">
        <v>9859.17</v>
      </c>
      <c r="X22" s="82">
        <v>-20080.5</v>
      </c>
      <c r="Y22" s="115">
        <f t="shared" si="0"/>
        <v>4600.9459999999999</v>
      </c>
      <c r="Z22" s="115">
        <f t="shared" si="1"/>
        <v>-9370.9</v>
      </c>
      <c r="AA22" s="3">
        <v>64000</v>
      </c>
      <c r="AB22" s="76" t="s">
        <v>246</v>
      </c>
    </row>
    <row r="23" spans="1:28" x14ac:dyDescent="0.25">
      <c r="A23" s="82" t="s">
        <v>244</v>
      </c>
      <c r="B23" s="82" t="s">
        <v>224</v>
      </c>
      <c r="C23" s="82" t="s">
        <v>14</v>
      </c>
      <c r="D23" s="74" t="s">
        <v>245</v>
      </c>
      <c r="E23" s="74" t="s">
        <v>245</v>
      </c>
      <c r="F23" s="82">
        <v>7.0999999999999994E-2</v>
      </c>
      <c r="G23" s="82">
        <v>6.5</v>
      </c>
      <c r="H23" s="82"/>
      <c r="I23" s="82">
        <v>5</v>
      </c>
      <c r="J23" s="82">
        <v>27</v>
      </c>
      <c r="K23" s="82">
        <v>0.33</v>
      </c>
      <c r="L23" s="82">
        <v>55000</v>
      </c>
      <c r="M23" s="82">
        <v>38000</v>
      </c>
      <c r="N23" s="3">
        <v>37000</v>
      </c>
      <c r="O23" s="3">
        <v>7.0000000000000007E-2</v>
      </c>
      <c r="P23" s="82">
        <v>10800000</v>
      </c>
      <c r="Q23" s="82">
        <v>0.95399999999999996</v>
      </c>
      <c r="R23" s="82">
        <v>0.8</v>
      </c>
      <c r="S23" s="82">
        <v>0.83399999999999996</v>
      </c>
      <c r="T23" s="82">
        <v>300</v>
      </c>
      <c r="U23" s="82" t="s">
        <v>8</v>
      </c>
      <c r="V23" s="82">
        <v>3.44</v>
      </c>
      <c r="W23" s="82">
        <v>7719.82</v>
      </c>
      <c r="X23" s="82">
        <v>-27132.14</v>
      </c>
      <c r="Y23" s="115">
        <f t="shared" si="0"/>
        <v>3602.5826666666667</v>
      </c>
      <c r="Z23" s="115">
        <f t="shared" si="1"/>
        <v>-12661.665333333332</v>
      </c>
      <c r="AA23" s="3">
        <v>64000</v>
      </c>
      <c r="AB23" s="76" t="s">
        <v>246</v>
      </c>
    </row>
    <row r="24" spans="1:28" ht="30" x14ac:dyDescent="0.25">
      <c r="A24" s="82" t="s">
        <v>247</v>
      </c>
      <c r="B24" s="82" t="s">
        <v>248</v>
      </c>
      <c r="C24" s="82" t="s">
        <v>15</v>
      </c>
      <c r="D24" s="74" t="s">
        <v>249</v>
      </c>
      <c r="E24" s="74" t="s">
        <v>250</v>
      </c>
      <c r="F24" s="82">
        <v>0.08</v>
      </c>
      <c r="G24" s="82"/>
      <c r="H24" s="82"/>
      <c r="I24" s="82"/>
      <c r="J24" s="82">
        <v>32.5</v>
      </c>
      <c r="K24" s="82">
        <v>0.33</v>
      </c>
      <c r="L24" s="82">
        <v>55000</v>
      </c>
      <c r="M24" s="82">
        <v>38000</v>
      </c>
      <c r="N24" s="3">
        <v>37000</v>
      </c>
      <c r="O24" s="3">
        <v>7.0000000000000007E-2</v>
      </c>
      <c r="P24" s="82">
        <v>10800000</v>
      </c>
      <c r="Q24" s="82">
        <v>0.83599999999999997</v>
      </c>
      <c r="R24" s="82">
        <v>0.51200000000000001</v>
      </c>
      <c r="S24" s="82">
        <v>0.72</v>
      </c>
      <c r="T24" s="82">
        <v>460</v>
      </c>
      <c r="U24" s="82" t="s">
        <v>8</v>
      </c>
      <c r="V24" s="82"/>
      <c r="W24" s="82">
        <v>2073.375</v>
      </c>
      <c r="X24" s="82">
        <v>-16725.75</v>
      </c>
      <c r="Y24" s="115">
        <v>26510</v>
      </c>
      <c r="Z24" s="115">
        <v>9090</v>
      </c>
      <c r="AA24" s="3">
        <v>40000</v>
      </c>
      <c r="AB24" s="76" t="s">
        <v>251</v>
      </c>
    </row>
    <row r="25" spans="1:28" ht="30" x14ac:dyDescent="0.25">
      <c r="A25" s="82" t="s">
        <v>247</v>
      </c>
      <c r="B25" s="82" t="s">
        <v>248</v>
      </c>
      <c r="C25" s="82" t="s">
        <v>14</v>
      </c>
      <c r="D25" s="74" t="s">
        <v>249</v>
      </c>
      <c r="E25" s="74" t="s">
        <v>250</v>
      </c>
      <c r="F25" s="82">
        <v>0.08</v>
      </c>
      <c r="G25" s="82"/>
      <c r="H25" s="82"/>
      <c r="I25" s="82"/>
      <c r="J25" s="82">
        <v>32.5</v>
      </c>
      <c r="K25" s="82">
        <v>0.33</v>
      </c>
      <c r="L25" s="82">
        <v>55000</v>
      </c>
      <c r="M25" s="82">
        <v>38000</v>
      </c>
      <c r="N25" s="3">
        <v>37000</v>
      </c>
      <c r="O25" s="3">
        <v>7.0000000000000007E-2</v>
      </c>
      <c r="P25" s="82">
        <v>10800000</v>
      </c>
      <c r="Q25" s="82">
        <v>0.83599999999999997</v>
      </c>
      <c r="R25" s="82">
        <v>0.51200000000000001</v>
      </c>
      <c r="S25" s="82">
        <v>0.72</v>
      </c>
      <c r="T25" s="82">
        <v>460</v>
      </c>
      <c r="U25" s="82" t="s">
        <v>8</v>
      </c>
      <c r="V25" s="82"/>
      <c r="W25" s="82">
        <v>2073.375</v>
      </c>
      <c r="X25" s="82">
        <v>-16725.75</v>
      </c>
      <c r="Y25" s="115">
        <v>26510</v>
      </c>
      <c r="Z25" s="115">
        <v>9090</v>
      </c>
      <c r="AA25" s="3">
        <v>40000</v>
      </c>
      <c r="AB25" s="76" t="s">
        <v>251</v>
      </c>
    </row>
  </sheetData>
  <pageMargins left="0.7" right="0.7" top="0.75" bottom="0.75" header="0.3" footer="0.3"/>
  <pageSetup orientation="portrait" horizontalDpi="90" verticalDpi="9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24</vt:i4>
      </vt:variant>
    </vt:vector>
  </HeadingPairs>
  <TitlesOfParts>
    <vt:vector size="32" baseType="lpstr">
      <vt:lpstr>Dent Tool</vt:lpstr>
      <vt:lpstr>Inputs</vt:lpstr>
      <vt:lpstr>Calculations</vt:lpstr>
      <vt:lpstr>Allowables &amp; TRF Data</vt:lpstr>
      <vt:lpstr>Ky Calculation</vt:lpstr>
      <vt:lpstr>Database</vt:lpstr>
      <vt:lpstr>DataTable</vt:lpstr>
      <vt:lpstr>Summary-Sravya</vt:lpstr>
      <vt:lpstr>AbsMaximumPrincipalStress</vt:lpstr>
      <vt:lpstr>Inputs!Aircraft</vt:lpstr>
      <vt:lpstr>Aircraft</vt:lpstr>
      <vt:lpstr>Inputs!Aircraft_Program</vt:lpstr>
      <vt:lpstr>Aircraft_Program</vt:lpstr>
      <vt:lpstr>Airplane</vt:lpstr>
      <vt:lpstr>CVLogCase</vt:lpstr>
      <vt:lpstr>Dentselected</vt:lpstr>
      <vt:lpstr>Engine</vt:lpstr>
      <vt:lpstr>Flightcycles</vt:lpstr>
      <vt:lpstr>Lipskin</vt:lpstr>
      <vt:lpstr>Log_Created</vt:lpstr>
      <vt:lpstr>MaximumPrincipalStress</vt:lpstr>
      <vt:lpstr>MinimumPrincipalStress</vt:lpstr>
      <vt:lpstr>Panelsize</vt:lpstr>
      <vt:lpstr>PoissonRatio</vt:lpstr>
      <vt:lpstr>Inputs!Rib_Skin</vt:lpstr>
      <vt:lpstr>Rib_Skin</vt:lpstr>
      <vt:lpstr>TRF</vt:lpstr>
      <vt:lpstr>UltimateComprAllowable</vt:lpstr>
      <vt:lpstr>UltimateStrainAllowable</vt:lpstr>
      <vt:lpstr>UltimateTensileAllowable</vt:lpstr>
      <vt:lpstr>YieldTensileAllowable</vt:lpstr>
      <vt:lpstr>YoungsModulous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Maridasegowda, Vinay      Export License Required - US Collins</dc:creator>
  <cp:keywords>Select Classification Level, Technical Data</cp:keywords>
  <cp:lastModifiedBy>Vinay Maridasegowda</cp:lastModifiedBy>
  <dcterms:created xsi:type="dcterms:W3CDTF">2006-09-16T00:00:00Z</dcterms:created>
  <dcterms:modified xsi:type="dcterms:W3CDTF">2022-04-08T13:00:07Z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71d920ea-75c7-4936-a7f0-b54b2cff2623</vt:lpwstr>
  </property>
  <property fmtid="{D5CDD505-2E9C-101B-9397-08002B2CF9AE}" pid="3" name="UTCTechnicalData">
    <vt:lpwstr>Y</vt:lpwstr>
  </property>
  <property fmtid="{D5CDD505-2E9C-101B-9397-08002B2CF9AE}" pid="4" name="MSIP_Label_5a89be8d-6015-4f54-9924-b30a1fef320d_Enabled">
    <vt:lpwstr>true</vt:lpwstr>
  </property>
  <property fmtid="{D5CDD505-2E9C-101B-9397-08002B2CF9AE}" pid="5" name="MSIP_Label_5a89be8d-6015-4f54-9924-b30a1fef320d_SetDate">
    <vt:lpwstr>2021-11-08T13:33:20Z</vt:lpwstr>
  </property>
  <property fmtid="{D5CDD505-2E9C-101B-9397-08002B2CF9AE}" pid="6" name="MSIP_Label_5a89be8d-6015-4f54-9924-b30a1fef320d_Method">
    <vt:lpwstr>Privileged</vt:lpwstr>
  </property>
  <property fmtid="{D5CDD505-2E9C-101B-9397-08002B2CF9AE}" pid="7" name="MSIP_Label_5a89be8d-6015-4f54-9924-b30a1fef320d_Name">
    <vt:lpwstr>TECH DATA (NUSP)</vt:lpwstr>
  </property>
  <property fmtid="{D5CDD505-2E9C-101B-9397-08002B2CF9AE}" pid="8" name="MSIP_Label_5a89be8d-6015-4f54-9924-b30a1fef320d_SiteId">
    <vt:lpwstr>7a18110d-ef9b-4274-acef-e62ab0fe28ed</vt:lpwstr>
  </property>
  <property fmtid="{D5CDD505-2E9C-101B-9397-08002B2CF9AE}" pid="9" name="MSIP_Label_5a89be8d-6015-4f54-9924-b30a1fef320d_ActionId">
    <vt:lpwstr>e28de95d-506a-4afb-b01d-4615155a1880</vt:lpwstr>
  </property>
  <property fmtid="{D5CDD505-2E9C-101B-9397-08002B2CF9AE}" pid="10" name="MSIP_Label_5a89be8d-6015-4f54-9924-b30a1fef320d_ContentBits">
    <vt:lpwstr>0</vt:lpwstr>
  </property>
</Properties>
</file>